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drawings/drawing8.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tariqahmed/Documents/"/>
    </mc:Choice>
  </mc:AlternateContent>
  <xr:revisionPtr revIDLastSave="0" documentId="8_{E32EE853-60C4-F74B-94A8-A20C89C08863}" xr6:coauthVersionLast="47" xr6:coauthVersionMax="47" xr10:uidLastSave="{00000000-0000-0000-0000-000000000000}"/>
  <bookViews>
    <workbookView xWindow="1580" yWindow="600" windowWidth="14420" windowHeight="16140" firstSheet="2" activeTab="3" xr2:uid="{00000000-000D-0000-FFFF-FFFF00000000}"/>
  </bookViews>
  <sheets>
    <sheet name="Simulated Values" sheetId="1" r:id="rId1"/>
    <sheet name="Fixed Simulated Values" sheetId="11" r:id="rId2"/>
    <sheet name="Histogram of TSM Daily Returns" sheetId="4" r:id="rId3"/>
    <sheet name="Histogram of F Daily Returns" sheetId="5" r:id="rId4"/>
    <sheet name="Histogram of AAPL Daily Returns" sheetId="6" r:id="rId5"/>
    <sheet name="Histogram of Sim TSM" sheetId="7" r:id="rId6"/>
    <sheet name="Histogram of Sim F" sheetId="8" r:id="rId7"/>
    <sheet name="Sheet16" sheetId="16" r:id="rId8"/>
  </sheets>
  <externalReferences>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2" i="1" l="1"/>
  <c r="F252" i="1"/>
  <c r="E252" i="1"/>
  <c r="E254" i="1"/>
  <c r="E255" i="1"/>
  <c r="E256" i="1"/>
  <c r="G256" i="11"/>
  <c r="F256" i="11"/>
  <c r="E256" i="11"/>
  <c r="G255" i="11"/>
  <c r="F255" i="11"/>
  <c r="E255" i="11"/>
  <c r="G254" i="11"/>
  <c r="F254" i="11"/>
  <c r="E254" i="1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3" i="1"/>
  <c r="M3" i="1" s="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3" i="1"/>
  <c r="K3" i="1" s="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 i="1"/>
  <c r="B259" i="1"/>
  <c r="B260" i="1" s="1"/>
  <c r="B261" i="1" s="1"/>
  <c r="B262" i="1" s="1"/>
  <c r="B263" i="1" s="1"/>
  <c r="B264" i="1" s="1"/>
  <c r="B265" i="1" s="1"/>
  <c r="B266" i="1" s="1"/>
  <c r="B267" i="1" s="1"/>
  <c r="B268" i="1" s="1"/>
  <c r="B269" i="1" s="1"/>
  <c r="B270" i="1" s="1"/>
  <c r="M4" i="1" l="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F255" i="1"/>
  <c r="F256" i="1"/>
  <c r="F254" i="1"/>
  <c r="G256" i="1"/>
  <c r="G254" i="1"/>
  <c r="G255" i="1"/>
  <c r="H4" i="1" l="1"/>
  <c r="H12" i="1"/>
  <c r="H20" i="1"/>
  <c r="H28" i="1"/>
  <c r="H36" i="1"/>
  <c r="H44" i="1"/>
  <c r="H52" i="1"/>
  <c r="H60" i="1"/>
  <c r="H68" i="1"/>
  <c r="H76" i="1"/>
  <c r="H84" i="1"/>
  <c r="H92" i="1"/>
  <c r="H100" i="1"/>
  <c r="H108" i="1"/>
  <c r="H116" i="1"/>
  <c r="H124" i="1"/>
  <c r="H132" i="1"/>
  <c r="H140" i="1"/>
  <c r="H148" i="1"/>
  <c r="H156" i="1"/>
  <c r="H164" i="1"/>
  <c r="H172" i="1"/>
  <c r="H180" i="1"/>
  <c r="H188" i="1"/>
  <c r="H196" i="1"/>
  <c r="H204" i="1"/>
  <c r="H212" i="1"/>
  <c r="H220" i="1"/>
  <c r="H228" i="1"/>
  <c r="H236" i="1"/>
  <c r="H244" i="1"/>
  <c r="H252" i="1"/>
  <c r="H5" i="1"/>
  <c r="H13" i="1"/>
  <c r="H21" i="1"/>
  <c r="H29" i="1"/>
  <c r="H37" i="1"/>
  <c r="H45" i="1"/>
  <c r="H53" i="1"/>
  <c r="H61" i="1"/>
  <c r="H69" i="1"/>
  <c r="H77" i="1"/>
  <c r="H85" i="1"/>
  <c r="H93" i="1"/>
  <c r="H101" i="1"/>
  <c r="H109" i="1"/>
  <c r="H117" i="1"/>
  <c r="H125" i="1"/>
  <c r="H133" i="1"/>
  <c r="H141" i="1"/>
  <c r="H149" i="1"/>
  <c r="H157" i="1"/>
  <c r="H165" i="1"/>
  <c r="H173" i="1"/>
  <c r="H181" i="1"/>
  <c r="H189" i="1"/>
  <c r="H197" i="1"/>
  <c r="H205" i="1"/>
  <c r="H213" i="1"/>
  <c r="H221" i="1"/>
  <c r="H229" i="1"/>
  <c r="H237" i="1"/>
  <c r="H245" i="1"/>
  <c r="H6" i="1"/>
  <c r="H14" i="1"/>
  <c r="H22" i="1"/>
  <c r="H30" i="1"/>
  <c r="H38" i="1"/>
  <c r="H46" i="1"/>
  <c r="H54" i="1"/>
  <c r="H62" i="1"/>
  <c r="H70" i="1"/>
  <c r="H78" i="1"/>
  <c r="H86" i="1"/>
  <c r="H94" i="1"/>
  <c r="H102" i="1"/>
  <c r="H110" i="1"/>
  <c r="H118" i="1"/>
  <c r="H126" i="1"/>
  <c r="H134" i="1"/>
  <c r="H142" i="1"/>
  <c r="H150" i="1"/>
  <c r="H158" i="1"/>
  <c r="H166" i="1"/>
  <c r="H174" i="1"/>
  <c r="H182" i="1"/>
  <c r="H190" i="1"/>
  <c r="H198" i="1"/>
  <c r="H206" i="1"/>
  <c r="H214" i="1"/>
  <c r="H222" i="1"/>
  <c r="H230" i="1"/>
  <c r="H238" i="1"/>
  <c r="H246" i="1"/>
  <c r="H7" i="1"/>
  <c r="H15" i="1"/>
  <c r="H23" i="1"/>
  <c r="H31" i="1"/>
  <c r="H39" i="1"/>
  <c r="H47" i="1"/>
  <c r="H55" i="1"/>
  <c r="H63" i="1"/>
  <c r="H71" i="1"/>
  <c r="H79" i="1"/>
  <c r="H87" i="1"/>
  <c r="H95" i="1"/>
  <c r="H103" i="1"/>
  <c r="H111" i="1"/>
  <c r="H119" i="1"/>
  <c r="H127" i="1"/>
  <c r="H135" i="1"/>
  <c r="H143" i="1"/>
  <c r="H151" i="1"/>
  <c r="H159" i="1"/>
  <c r="H167" i="1"/>
  <c r="H175" i="1"/>
  <c r="H183" i="1"/>
  <c r="H191" i="1"/>
  <c r="H199" i="1"/>
  <c r="H207" i="1"/>
  <c r="H215" i="1"/>
  <c r="H223" i="1"/>
  <c r="H231" i="1"/>
  <c r="H239" i="1"/>
  <c r="H247" i="1"/>
  <c r="H8" i="1"/>
  <c r="H16" i="1"/>
  <c r="H24" i="1"/>
  <c r="H32" i="1"/>
  <c r="H40" i="1"/>
  <c r="H48" i="1"/>
  <c r="H56" i="1"/>
  <c r="H64" i="1"/>
  <c r="H72" i="1"/>
  <c r="H80" i="1"/>
  <c r="H88" i="1"/>
  <c r="H96" i="1"/>
  <c r="H104" i="1"/>
  <c r="H112" i="1"/>
  <c r="H120" i="1"/>
  <c r="H128" i="1"/>
  <c r="H136" i="1"/>
  <c r="H144" i="1"/>
  <c r="H152" i="1"/>
  <c r="H160" i="1"/>
  <c r="H168" i="1"/>
  <c r="H176" i="1"/>
  <c r="H184" i="1"/>
  <c r="H192" i="1"/>
  <c r="H200" i="1"/>
  <c r="H208" i="1"/>
  <c r="H216" i="1"/>
  <c r="H224" i="1"/>
  <c r="H232" i="1"/>
  <c r="H240" i="1"/>
  <c r="H248" i="1"/>
  <c r="H9" i="1"/>
  <c r="H17" i="1"/>
  <c r="H25" i="1"/>
  <c r="H33" i="1"/>
  <c r="H41" i="1"/>
  <c r="H49" i="1"/>
  <c r="H57" i="1"/>
  <c r="H65" i="1"/>
  <c r="H73" i="1"/>
  <c r="H81" i="1"/>
  <c r="H89" i="1"/>
  <c r="H97" i="1"/>
  <c r="H105" i="1"/>
  <c r="H113" i="1"/>
  <c r="H121" i="1"/>
  <c r="H129" i="1"/>
  <c r="H137" i="1"/>
  <c r="H145" i="1"/>
  <c r="H153" i="1"/>
  <c r="H161" i="1"/>
  <c r="H169" i="1"/>
  <c r="H177" i="1"/>
  <c r="H185" i="1"/>
  <c r="H193" i="1"/>
  <c r="H201" i="1"/>
  <c r="H209" i="1"/>
  <c r="H217" i="1"/>
  <c r="H225" i="1"/>
  <c r="H233" i="1"/>
  <c r="H241" i="1"/>
  <c r="H249" i="1"/>
  <c r="H10" i="1"/>
  <c r="H18" i="1"/>
  <c r="H26" i="1"/>
  <c r="H34" i="1"/>
  <c r="H42" i="1"/>
  <c r="H50" i="1"/>
  <c r="H58" i="1"/>
  <c r="H66" i="1"/>
  <c r="H74" i="1"/>
  <c r="H82" i="1"/>
  <c r="H90" i="1"/>
  <c r="H98" i="1"/>
  <c r="H106" i="1"/>
  <c r="H114" i="1"/>
  <c r="H122" i="1"/>
  <c r="H130" i="1"/>
  <c r="H138" i="1"/>
  <c r="H146" i="1"/>
  <c r="H154" i="1"/>
  <c r="H162" i="1"/>
  <c r="H170" i="1"/>
  <c r="H178" i="1"/>
  <c r="H186" i="1"/>
  <c r="H194" i="1"/>
  <c r="H202" i="1"/>
  <c r="H210" i="1"/>
  <c r="H218" i="1"/>
  <c r="H226" i="1"/>
  <c r="H234" i="1"/>
  <c r="H242" i="1"/>
  <c r="H250" i="1"/>
  <c r="H11" i="1"/>
  <c r="H19" i="1"/>
  <c r="H27" i="1"/>
  <c r="H35" i="1"/>
  <c r="H43" i="1"/>
  <c r="H51" i="1"/>
  <c r="H59" i="1"/>
  <c r="H67" i="1"/>
  <c r="H75" i="1"/>
  <c r="H83" i="1"/>
  <c r="H91" i="1"/>
  <c r="H99" i="1"/>
  <c r="H107" i="1"/>
  <c r="H115" i="1"/>
  <c r="H123" i="1"/>
  <c r="H131" i="1"/>
  <c r="H139" i="1"/>
  <c r="H147" i="1"/>
  <c r="H155" i="1"/>
  <c r="H163" i="1"/>
  <c r="H171" i="1"/>
  <c r="H179" i="1"/>
  <c r="H187" i="1"/>
  <c r="H195" i="1"/>
  <c r="H203" i="1"/>
  <c r="H211" i="1"/>
  <c r="H219" i="1"/>
  <c r="H227" i="1"/>
  <c r="H235" i="1"/>
  <c r="H243" i="1"/>
  <c r="H251" i="1"/>
  <c r="H3" i="1"/>
  <c r="I3" i="1" s="1"/>
  <c r="I4" i="1" s="1"/>
  <c r="I5" i="1" s="1"/>
  <c r="I6" i="1" l="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alcChain>
</file>

<file path=xl/sharedStrings.xml><?xml version="1.0" encoding="utf-8"?>
<sst xmlns="http://schemas.openxmlformats.org/spreadsheetml/2006/main" count="49" uniqueCount="27">
  <si>
    <t>TSM Close</t>
  </si>
  <si>
    <t>F Close</t>
  </si>
  <si>
    <t>AAPL Close</t>
  </si>
  <si>
    <t>TSM Return</t>
  </si>
  <si>
    <t>F Return</t>
  </si>
  <si>
    <t>AAPL Return</t>
  </si>
  <si>
    <t>Mean</t>
  </si>
  <si>
    <t xml:space="preserve">Std. Deviation </t>
  </si>
  <si>
    <t>TSM Sim</t>
  </si>
  <si>
    <t>F Sim</t>
  </si>
  <si>
    <t>AAPL Sim</t>
  </si>
  <si>
    <t>Variance</t>
  </si>
  <si>
    <t>Date</t>
  </si>
  <si>
    <t>Bin</t>
  </si>
  <si>
    <t>More</t>
  </si>
  <si>
    <t>Frequency</t>
  </si>
  <si>
    <t>TSM Daily Returns (%)</t>
  </si>
  <si>
    <r>
      <t>Figure X:</t>
    </r>
    <r>
      <rPr>
        <sz val="11"/>
        <color theme="1"/>
        <rFont val="Calibri"/>
        <family val="2"/>
        <scheme val="minor"/>
      </rPr>
      <t xml:space="preserve"> Histogram of TSM daily returns. The distribution is centred around 0%, indicating that small price movements occur most frequently. Large positive and negative returns occur less often, forming the tails of the distribution.</t>
    </r>
  </si>
  <si>
    <t xml:space="preserve">F Daily Returns (%) </t>
  </si>
  <si>
    <t>AAPL Daily Returns (%)</t>
  </si>
  <si>
    <t>TSM Sim Return</t>
  </si>
  <si>
    <t>TSM Sim Close</t>
  </si>
  <si>
    <t>F Sim Return</t>
  </si>
  <si>
    <t>F Sim Close</t>
  </si>
  <si>
    <t>AAPL Sim Return</t>
  </si>
  <si>
    <t>AAPL Sim Close</t>
  </si>
  <si>
    <r>
      <rPr>
        <b/>
        <sz val="11"/>
        <color rgb="FFC00000"/>
        <rFont val="Calibri"/>
        <family val="2"/>
        <scheme val="minor"/>
      </rPr>
      <t>To ensure consistency in the analysis, the simulated values were copied and pasted as fixed values before constructing the graphs. This step was necessary because the RAND() function in Excel continuously updates whenever the worksheet recalculates, which would otherwise change the simulated results and the corresponding cha</t>
    </r>
    <r>
      <rPr>
        <sz val="11"/>
        <color rgb="FFC00000"/>
        <rFont val="Calibri"/>
        <family val="2"/>
        <scheme val="minor"/>
      </rPr>
      <t>r</t>
    </r>
    <r>
      <rPr>
        <b/>
        <sz val="11"/>
        <color rgb="FFC00000"/>
        <rFont val="Calibri"/>
        <family val="2"/>
        <scheme val="minor"/>
      </rPr>
      <t>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</si>
</sst>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_([$$-409]* #,##0.00_);_([$$-409]* \(#,##0.00\);_([$$-409]* &quot;-&quot;??_);_(@_)"/>
  </numFmts>
  <fonts count="5" x14ac:knownFonts="1">
    <font>
      <sz val="11"/>
      <color theme="1"/>
      <name val="Calibri"/>
      <family val="2"/>
      <scheme val="minor"/>
    </font>
    <font>
      <i/>
      <sz val="11"/>
      <color theme="1"/>
      <name val="Calibri"/>
      <family val="2"/>
      <scheme val="minor"/>
    </font>
    <font>
      <b/>
      <sz val="11"/>
      <color theme="1"/>
      <name val="Calibri"/>
      <family val="2"/>
      <scheme val="minor"/>
    </font>
    <font>
      <sz val="11"/>
      <color rgb="FFC00000"/>
      <name val="Calibri"/>
      <family val="2"/>
      <scheme val="minor"/>
    </font>
    <font>
      <b/>
      <sz val="11"/>
      <color rgb="FFC00000"/>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
    <xf numFmtId="0" fontId="0" fillId="0" borderId="0" xfId="0"/>
    <xf numFmtId="164" fontId="0" fillId="0" borderId="0" xfId="0" applyNumberFormat="1"/>
    <xf numFmtId="0" fontId="0" fillId="0" borderId="1" xfId="0" applyBorder="1"/>
    <xf numFmtId="0" fontId="1" fillId="0" borderId="2" xfId="0" applyFont="1" applyBorder="1" applyAlignment="1">
      <alignment horizontal="center"/>
    </xf>
    <xf numFmtId="165" fontId="0" fillId="0" borderId="0" xfId="0" applyNumberFormat="1"/>
    <xf numFmtId="0" fontId="3"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Ford Actual vs Simulated</a:t>
            </a:r>
            <a:endParaRPr lang="en-US"/>
          </a:p>
        </c:rich>
      </c:tx>
      <c:overlay val="0"/>
    </c:title>
    <c:autoTitleDeleted val="0"/>
    <c:plotArea>
      <c:layout/>
      <c:lineChart>
        <c:grouping val="standard"/>
        <c:varyColors val="0"/>
        <c:ser>
          <c:idx val="0"/>
          <c:order val="0"/>
          <c:tx>
            <c:strRef>
              <c:f>'Simulated Values'!$C$1</c:f>
              <c:strCache>
                <c:ptCount val="1"/>
                <c:pt idx="0">
                  <c:v>F Close</c:v>
                </c:pt>
              </c:strCache>
            </c:strRef>
          </c:tx>
          <c:marker>
            <c:symbol val="none"/>
          </c:marker>
          <c:val>
            <c:numRef>
              <c:f>'Simulated Values'!$C$2:$C$252</c:f>
              <c:numCache>
                <c:formatCode>_-[$$-409]* #,##0.00_ ;_-[$$-409]* \-#,##0.00\ ;_-[$$-409]* "-"??_ ;_-@_ </c:formatCode>
                <c:ptCount val="251"/>
                <c:pt idx="0">
                  <c:v>10.3</c:v>
                </c:pt>
                <c:pt idx="1">
                  <c:v>9.9</c:v>
                </c:pt>
                <c:pt idx="2">
                  <c:v>9.7200000000000006</c:v>
                </c:pt>
                <c:pt idx="3">
                  <c:v>10.029999999999999</c:v>
                </c:pt>
                <c:pt idx="4">
                  <c:v>9.94</c:v>
                </c:pt>
                <c:pt idx="5">
                  <c:v>10.15</c:v>
                </c:pt>
                <c:pt idx="6">
                  <c:v>9.5399999999999991</c:v>
                </c:pt>
                <c:pt idx="7">
                  <c:v>9.58</c:v>
                </c:pt>
                <c:pt idx="8">
                  <c:v>9.24</c:v>
                </c:pt>
                <c:pt idx="9">
                  <c:v>8.69</c:v>
                </c:pt>
                <c:pt idx="10">
                  <c:v>9.5</c:v>
                </c:pt>
                <c:pt idx="11">
                  <c:v>9.14</c:v>
                </c:pt>
                <c:pt idx="12">
                  <c:v>9.33</c:v>
                </c:pt>
                <c:pt idx="13">
                  <c:v>9.7100000000000009</c:v>
                </c:pt>
                <c:pt idx="14">
                  <c:v>9.4499999999999993</c:v>
                </c:pt>
                <c:pt idx="15">
                  <c:v>9.4</c:v>
                </c:pt>
                <c:pt idx="16">
                  <c:v>9.6300000000000008</c:v>
                </c:pt>
                <c:pt idx="17">
                  <c:v>9.4700000000000006</c:v>
                </c:pt>
                <c:pt idx="18">
                  <c:v>9.65</c:v>
                </c:pt>
                <c:pt idx="19">
                  <c:v>9.7799999999999994</c:v>
                </c:pt>
                <c:pt idx="20">
                  <c:v>10.06</c:v>
                </c:pt>
                <c:pt idx="21">
                  <c:v>10.039999999999999</c:v>
                </c:pt>
                <c:pt idx="22">
                  <c:v>10.02</c:v>
                </c:pt>
                <c:pt idx="23">
                  <c:v>10.15</c:v>
                </c:pt>
                <c:pt idx="24">
                  <c:v>10.01</c:v>
                </c:pt>
                <c:pt idx="25">
                  <c:v>10.18</c:v>
                </c:pt>
                <c:pt idx="26">
                  <c:v>10.28</c:v>
                </c:pt>
                <c:pt idx="27">
                  <c:v>10.17</c:v>
                </c:pt>
                <c:pt idx="28">
                  <c:v>10.44</c:v>
                </c:pt>
                <c:pt idx="29">
                  <c:v>10.28</c:v>
                </c:pt>
                <c:pt idx="30">
                  <c:v>10.28</c:v>
                </c:pt>
                <c:pt idx="31">
                  <c:v>10.43</c:v>
                </c:pt>
                <c:pt idx="32">
                  <c:v>10.55</c:v>
                </c:pt>
                <c:pt idx="33">
                  <c:v>10.6</c:v>
                </c:pt>
                <c:pt idx="34">
                  <c:v>10.65</c:v>
                </c:pt>
                <c:pt idx="35">
                  <c:v>10.75</c:v>
                </c:pt>
                <c:pt idx="36">
                  <c:v>10.8</c:v>
                </c:pt>
                <c:pt idx="37">
                  <c:v>10.75</c:v>
                </c:pt>
                <c:pt idx="38">
                  <c:v>10.72</c:v>
                </c:pt>
                <c:pt idx="39">
                  <c:v>10.48</c:v>
                </c:pt>
                <c:pt idx="40">
                  <c:v>10.44</c:v>
                </c:pt>
                <c:pt idx="41">
                  <c:v>10.36</c:v>
                </c:pt>
                <c:pt idx="42">
                  <c:v>10.31</c:v>
                </c:pt>
                <c:pt idx="43">
                  <c:v>10.17</c:v>
                </c:pt>
                <c:pt idx="44">
                  <c:v>10.220000000000001</c:v>
                </c:pt>
                <c:pt idx="45">
                  <c:v>10.38</c:v>
                </c:pt>
                <c:pt idx="46">
                  <c:v>9.98</c:v>
                </c:pt>
                <c:pt idx="47">
                  <c:v>10.19</c:v>
                </c:pt>
                <c:pt idx="48">
                  <c:v>10.24</c:v>
                </c:pt>
                <c:pt idx="49">
                  <c:v>10.1</c:v>
                </c:pt>
                <c:pt idx="50">
                  <c:v>10.26</c:v>
                </c:pt>
                <c:pt idx="51">
                  <c:v>10.34</c:v>
                </c:pt>
                <c:pt idx="52">
                  <c:v>10.6</c:v>
                </c:pt>
                <c:pt idx="53">
                  <c:v>10.66</c:v>
                </c:pt>
                <c:pt idx="54">
                  <c:v>10.53</c:v>
                </c:pt>
                <c:pt idx="55">
                  <c:v>10.43</c:v>
                </c:pt>
                <c:pt idx="56">
                  <c:v>10.62</c:v>
                </c:pt>
                <c:pt idx="57">
                  <c:v>10.42</c:v>
                </c:pt>
                <c:pt idx="58">
                  <c:v>10.43</c:v>
                </c:pt>
                <c:pt idx="59">
                  <c:v>10.59</c:v>
                </c:pt>
                <c:pt idx="60">
                  <c:v>10.75</c:v>
                </c:pt>
                <c:pt idx="61">
                  <c:v>10.73</c:v>
                </c:pt>
                <c:pt idx="62">
                  <c:v>10.48</c:v>
                </c:pt>
                <c:pt idx="63">
                  <c:v>10.63</c:v>
                </c:pt>
                <c:pt idx="64">
                  <c:v>10.8</c:v>
                </c:pt>
                <c:pt idx="65">
                  <c:v>10.85</c:v>
                </c:pt>
                <c:pt idx="66">
                  <c:v>11.35</c:v>
                </c:pt>
                <c:pt idx="67">
                  <c:v>11.77</c:v>
                </c:pt>
                <c:pt idx="68">
                  <c:v>11.81</c:v>
                </c:pt>
                <c:pt idx="69">
                  <c:v>11.59</c:v>
                </c:pt>
                <c:pt idx="70">
                  <c:v>11.68</c:v>
                </c:pt>
                <c:pt idx="71">
                  <c:v>11.83</c:v>
                </c:pt>
                <c:pt idx="72">
                  <c:v>11.91</c:v>
                </c:pt>
                <c:pt idx="73">
                  <c:v>11.78</c:v>
                </c:pt>
                <c:pt idx="74">
                  <c:v>11.88</c:v>
                </c:pt>
                <c:pt idx="75">
                  <c:v>11.57</c:v>
                </c:pt>
                <c:pt idx="76">
                  <c:v>11.24</c:v>
                </c:pt>
                <c:pt idx="77">
                  <c:v>11.15</c:v>
                </c:pt>
                <c:pt idx="78">
                  <c:v>11.16</c:v>
                </c:pt>
                <c:pt idx="79">
                  <c:v>11.31</c:v>
                </c:pt>
                <c:pt idx="80">
                  <c:v>11.19</c:v>
                </c:pt>
                <c:pt idx="81">
                  <c:v>11.38</c:v>
                </c:pt>
                <c:pt idx="82">
                  <c:v>11.26</c:v>
                </c:pt>
                <c:pt idx="83">
                  <c:v>11.47</c:v>
                </c:pt>
                <c:pt idx="84">
                  <c:v>11.28</c:v>
                </c:pt>
                <c:pt idx="85">
                  <c:v>11.08</c:v>
                </c:pt>
                <c:pt idx="86">
                  <c:v>10.87</c:v>
                </c:pt>
                <c:pt idx="87">
                  <c:v>11.07</c:v>
                </c:pt>
                <c:pt idx="88">
                  <c:v>10.82</c:v>
                </c:pt>
                <c:pt idx="89">
                  <c:v>10.95</c:v>
                </c:pt>
                <c:pt idx="90">
                  <c:v>11.06</c:v>
                </c:pt>
                <c:pt idx="91">
                  <c:v>11.21</c:v>
                </c:pt>
                <c:pt idx="92">
                  <c:v>11.28</c:v>
                </c:pt>
                <c:pt idx="93">
                  <c:v>11.32</c:v>
                </c:pt>
                <c:pt idx="94">
                  <c:v>11.14</c:v>
                </c:pt>
                <c:pt idx="95">
                  <c:v>11.25</c:v>
                </c:pt>
                <c:pt idx="96">
                  <c:v>11.44</c:v>
                </c:pt>
                <c:pt idx="97">
                  <c:v>11.44</c:v>
                </c:pt>
                <c:pt idx="98">
                  <c:v>11.44</c:v>
                </c:pt>
                <c:pt idx="99">
                  <c:v>11.46</c:v>
                </c:pt>
                <c:pt idx="100">
                  <c:v>11.58</c:v>
                </c:pt>
                <c:pt idx="101">
                  <c:v>11.49</c:v>
                </c:pt>
                <c:pt idx="102">
                  <c:v>11.33</c:v>
                </c:pt>
                <c:pt idx="103">
                  <c:v>11.74</c:v>
                </c:pt>
                <c:pt idx="104">
                  <c:v>11.82</c:v>
                </c:pt>
                <c:pt idx="105">
                  <c:v>11.84</c:v>
                </c:pt>
                <c:pt idx="106">
                  <c:v>11.91</c:v>
                </c:pt>
                <c:pt idx="107">
                  <c:v>11.71</c:v>
                </c:pt>
                <c:pt idx="108">
                  <c:v>11.77</c:v>
                </c:pt>
                <c:pt idx="109">
                  <c:v>11.72</c:v>
                </c:pt>
                <c:pt idx="110">
                  <c:v>11.62</c:v>
                </c:pt>
                <c:pt idx="111">
                  <c:v>11.68</c:v>
                </c:pt>
                <c:pt idx="112">
                  <c:v>11.74</c:v>
                </c:pt>
                <c:pt idx="113">
                  <c:v>11.69</c:v>
                </c:pt>
                <c:pt idx="114">
                  <c:v>11.49</c:v>
                </c:pt>
                <c:pt idx="115">
                  <c:v>11.42</c:v>
                </c:pt>
                <c:pt idx="116">
                  <c:v>11.76</c:v>
                </c:pt>
                <c:pt idx="117">
                  <c:v>11.68</c:v>
                </c:pt>
                <c:pt idx="118">
                  <c:v>11.68</c:v>
                </c:pt>
                <c:pt idx="119">
                  <c:v>11.61</c:v>
                </c:pt>
                <c:pt idx="120">
                  <c:v>11.66</c:v>
                </c:pt>
                <c:pt idx="121">
                  <c:v>11.74</c:v>
                </c:pt>
                <c:pt idx="122">
                  <c:v>11.62</c:v>
                </c:pt>
                <c:pt idx="123">
                  <c:v>11.66</c:v>
                </c:pt>
                <c:pt idx="124">
                  <c:v>11.73</c:v>
                </c:pt>
                <c:pt idx="125">
                  <c:v>11.63</c:v>
                </c:pt>
                <c:pt idx="126">
                  <c:v>11.62</c:v>
                </c:pt>
                <c:pt idx="127">
                  <c:v>12.01</c:v>
                </c:pt>
                <c:pt idx="128">
                  <c:v>12.09</c:v>
                </c:pt>
                <c:pt idx="129">
                  <c:v>11.96</c:v>
                </c:pt>
                <c:pt idx="130">
                  <c:v>12.27</c:v>
                </c:pt>
                <c:pt idx="131">
                  <c:v>12.22</c:v>
                </c:pt>
                <c:pt idx="132">
                  <c:v>12.67</c:v>
                </c:pt>
                <c:pt idx="133">
                  <c:v>12.7</c:v>
                </c:pt>
                <c:pt idx="134">
                  <c:v>11.92</c:v>
                </c:pt>
                <c:pt idx="135">
                  <c:v>11.74</c:v>
                </c:pt>
                <c:pt idx="136">
                  <c:v>11.5</c:v>
                </c:pt>
                <c:pt idx="137">
                  <c:v>11.41</c:v>
                </c:pt>
                <c:pt idx="138">
                  <c:v>11.54</c:v>
                </c:pt>
                <c:pt idx="139">
                  <c:v>11.65</c:v>
                </c:pt>
                <c:pt idx="140">
                  <c:v>11.76</c:v>
                </c:pt>
                <c:pt idx="141">
                  <c:v>11.74</c:v>
                </c:pt>
                <c:pt idx="142">
                  <c:v>11.92</c:v>
                </c:pt>
                <c:pt idx="143">
                  <c:v>11.99</c:v>
                </c:pt>
                <c:pt idx="144">
                  <c:v>12.56</c:v>
                </c:pt>
                <c:pt idx="145">
                  <c:v>12.43</c:v>
                </c:pt>
                <c:pt idx="146">
                  <c:v>12.34</c:v>
                </c:pt>
                <c:pt idx="147">
                  <c:v>13.84</c:v>
                </c:pt>
                <c:pt idx="148">
                  <c:v>13.26</c:v>
                </c:pt>
                <c:pt idx="149">
                  <c:v>13.13</c:v>
                </c:pt>
                <c:pt idx="150">
                  <c:v>13.24</c:v>
                </c:pt>
                <c:pt idx="151">
                  <c:v>13.06</c:v>
                </c:pt>
                <c:pt idx="152">
                  <c:v>13.13</c:v>
                </c:pt>
                <c:pt idx="153">
                  <c:v>13.01</c:v>
                </c:pt>
                <c:pt idx="154">
                  <c:v>12.79</c:v>
                </c:pt>
                <c:pt idx="155">
                  <c:v>13.11</c:v>
                </c:pt>
                <c:pt idx="156">
                  <c:v>13.12</c:v>
                </c:pt>
                <c:pt idx="157">
                  <c:v>13.21</c:v>
                </c:pt>
                <c:pt idx="158">
                  <c:v>13.16</c:v>
                </c:pt>
                <c:pt idx="159">
                  <c:v>13.3</c:v>
                </c:pt>
                <c:pt idx="160">
                  <c:v>13.45</c:v>
                </c:pt>
                <c:pt idx="161">
                  <c:v>13.28</c:v>
                </c:pt>
                <c:pt idx="162">
                  <c:v>13.19</c:v>
                </c:pt>
                <c:pt idx="163">
                  <c:v>12.88</c:v>
                </c:pt>
                <c:pt idx="164">
                  <c:v>13.02</c:v>
                </c:pt>
                <c:pt idx="165">
                  <c:v>12.9</c:v>
                </c:pt>
                <c:pt idx="166">
                  <c:v>12.41</c:v>
                </c:pt>
                <c:pt idx="167">
                  <c:v>12.83</c:v>
                </c:pt>
                <c:pt idx="168">
                  <c:v>12.96</c:v>
                </c:pt>
                <c:pt idx="169">
                  <c:v>13.17</c:v>
                </c:pt>
                <c:pt idx="170">
                  <c:v>13.19</c:v>
                </c:pt>
                <c:pt idx="171">
                  <c:v>13.28</c:v>
                </c:pt>
                <c:pt idx="172">
                  <c:v>13.16</c:v>
                </c:pt>
                <c:pt idx="173">
                  <c:v>12.96</c:v>
                </c:pt>
                <c:pt idx="174">
                  <c:v>13.09</c:v>
                </c:pt>
                <c:pt idx="175">
                  <c:v>13.14</c:v>
                </c:pt>
                <c:pt idx="176">
                  <c:v>13.03</c:v>
                </c:pt>
                <c:pt idx="177">
                  <c:v>13.14</c:v>
                </c:pt>
                <c:pt idx="178">
                  <c:v>13.08</c:v>
                </c:pt>
                <c:pt idx="179">
                  <c:v>13.41</c:v>
                </c:pt>
                <c:pt idx="180">
                  <c:v>13.63</c:v>
                </c:pt>
                <c:pt idx="181">
                  <c:v>13.76</c:v>
                </c:pt>
                <c:pt idx="182">
                  <c:v>13.65</c:v>
                </c:pt>
                <c:pt idx="183">
                  <c:v>13.67</c:v>
                </c:pt>
                <c:pt idx="184">
                  <c:v>13.31</c:v>
                </c:pt>
                <c:pt idx="185">
                  <c:v>13.32</c:v>
                </c:pt>
                <c:pt idx="186">
                  <c:v>13.47</c:v>
                </c:pt>
                <c:pt idx="187">
                  <c:v>13.46</c:v>
                </c:pt>
                <c:pt idx="188">
                  <c:v>13.29</c:v>
                </c:pt>
                <c:pt idx="189">
                  <c:v>13.36</c:v>
                </c:pt>
                <c:pt idx="190">
                  <c:v>13.31</c:v>
                </c:pt>
                <c:pt idx="191">
                  <c:v>13.28</c:v>
                </c:pt>
                <c:pt idx="192">
                  <c:v>13.23</c:v>
                </c:pt>
                <c:pt idx="193">
                  <c:v>13.12</c:v>
                </c:pt>
                <c:pt idx="194">
                  <c:v>13.34</c:v>
                </c:pt>
                <c:pt idx="195">
                  <c:v>13.47</c:v>
                </c:pt>
                <c:pt idx="196">
                  <c:v>13.8</c:v>
                </c:pt>
                <c:pt idx="197">
                  <c:v>13.74</c:v>
                </c:pt>
                <c:pt idx="198">
                  <c:v>14.4</c:v>
                </c:pt>
                <c:pt idx="199">
                  <c:v>14.2</c:v>
                </c:pt>
                <c:pt idx="200">
                  <c:v>14.03</c:v>
                </c:pt>
                <c:pt idx="201">
                  <c:v>13.98</c:v>
                </c:pt>
                <c:pt idx="202">
                  <c:v>13.84</c:v>
                </c:pt>
                <c:pt idx="203">
                  <c:v>13.81</c:v>
                </c:pt>
                <c:pt idx="204">
                  <c:v>13.6</c:v>
                </c:pt>
                <c:pt idx="205">
                  <c:v>13.28</c:v>
                </c:pt>
                <c:pt idx="206">
                  <c:v>13.77</c:v>
                </c:pt>
                <c:pt idx="207">
                  <c:v>13.71</c:v>
                </c:pt>
                <c:pt idx="208">
                  <c:v>13.56</c:v>
                </c:pt>
                <c:pt idx="209">
                  <c:v>13.44</c:v>
                </c:pt>
                <c:pt idx="210">
                  <c:v>13.93</c:v>
                </c:pt>
                <c:pt idx="211">
                  <c:v>13.82</c:v>
                </c:pt>
                <c:pt idx="212">
                  <c:v>14</c:v>
                </c:pt>
                <c:pt idx="213">
                  <c:v>13.88</c:v>
                </c:pt>
                <c:pt idx="214">
                  <c:v>13.81</c:v>
                </c:pt>
                <c:pt idx="215">
                  <c:v>13.73</c:v>
                </c:pt>
                <c:pt idx="216">
                  <c:v>13.82</c:v>
                </c:pt>
                <c:pt idx="217">
                  <c:v>13.72</c:v>
                </c:pt>
                <c:pt idx="218">
                  <c:v>13.8</c:v>
                </c:pt>
                <c:pt idx="219">
                  <c:v>13.59</c:v>
                </c:pt>
                <c:pt idx="220">
                  <c:v>13.57</c:v>
                </c:pt>
                <c:pt idx="221">
                  <c:v>13.85</c:v>
                </c:pt>
                <c:pt idx="222">
                  <c:v>14</c:v>
                </c:pt>
                <c:pt idx="223">
                  <c:v>14.12</c:v>
                </c:pt>
                <c:pt idx="224">
                  <c:v>14.13</c:v>
                </c:pt>
                <c:pt idx="225">
                  <c:v>13.85</c:v>
                </c:pt>
                <c:pt idx="226">
                  <c:v>13.78</c:v>
                </c:pt>
                <c:pt idx="227">
                  <c:v>14.01</c:v>
                </c:pt>
                <c:pt idx="228">
                  <c:v>13.64</c:v>
                </c:pt>
                <c:pt idx="229">
                  <c:v>14.2</c:v>
                </c:pt>
                <c:pt idx="230">
                  <c:v>14.43</c:v>
                </c:pt>
                <c:pt idx="231">
                  <c:v>14.41</c:v>
                </c:pt>
                <c:pt idx="232">
                  <c:v>14.09</c:v>
                </c:pt>
                <c:pt idx="233">
                  <c:v>13.39</c:v>
                </c:pt>
                <c:pt idx="234">
                  <c:v>12.7</c:v>
                </c:pt>
                <c:pt idx="235">
                  <c:v>12.81</c:v>
                </c:pt>
                <c:pt idx="236">
                  <c:v>12.34</c:v>
                </c:pt>
                <c:pt idx="237">
                  <c:v>12.15</c:v>
                </c:pt>
                <c:pt idx="238">
                  <c:v>12.19</c:v>
                </c:pt>
                <c:pt idx="239">
                  <c:v>12.24</c:v>
                </c:pt>
                <c:pt idx="240">
                  <c:v>12.11</c:v>
                </c:pt>
                <c:pt idx="241">
                  <c:v>12.04</c:v>
                </c:pt>
                <c:pt idx="242">
                  <c:v>11.67</c:v>
                </c:pt>
                <c:pt idx="243">
                  <c:v>11.71</c:v>
                </c:pt>
                <c:pt idx="244">
                  <c:v>11.94</c:v>
                </c:pt>
                <c:pt idx="245">
                  <c:v>11.79</c:v>
                </c:pt>
                <c:pt idx="246">
                  <c:v>11.64</c:v>
                </c:pt>
                <c:pt idx="247">
                  <c:v>11.52</c:v>
                </c:pt>
                <c:pt idx="248">
                  <c:v>11.76</c:v>
                </c:pt>
                <c:pt idx="249">
                  <c:v>11.84</c:v>
                </c:pt>
                <c:pt idx="250">
                  <c:v>11.67</c:v>
                </c:pt>
              </c:numCache>
            </c:numRef>
          </c:val>
          <c:smooth val="0"/>
          <c:extLst>
            <c:ext xmlns:c16="http://schemas.microsoft.com/office/drawing/2014/chart" uri="{C3380CC4-5D6E-409C-BE32-E72D297353CC}">
              <c16:uniqueId val="{00000000-4AA1-8243-9367-C7FF7A05A835}"/>
            </c:ext>
          </c:extLst>
        </c:ser>
        <c:ser>
          <c:idx val="1"/>
          <c:order val="1"/>
          <c:tx>
            <c:strRef>
              <c:f>'Simulated Values'!$K$1</c:f>
              <c:strCache>
                <c:ptCount val="1"/>
                <c:pt idx="0">
                  <c:v>F Sim Close</c:v>
                </c:pt>
              </c:strCache>
            </c:strRef>
          </c:tx>
          <c:marker>
            <c:symbol val="none"/>
          </c:marker>
          <c:val>
            <c:numRef>
              <c:f>'Simulated Values'!$K$2:$K$252</c:f>
              <c:numCache>
                <c:formatCode>_([$$-409]* #,##0.00_);_([$$-409]* \(#,##0.00\);_([$$-409]* "-"??_);_(@_)</c:formatCode>
                <c:ptCount val="251"/>
                <c:pt idx="0" formatCode="_-[$$-409]* #,##0.00_ ;_-[$$-409]* \-#,##0.00\ ;_-[$$-409]* &quot;-&quot;??_ ;_-@_ ">
                  <c:v>10.3</c:v>
                </c:pt>
                <c:pt idx="1">
                  <c:v>10.406649377685426</c:v>
                </c:pt>
                <c:pt idx="2">
                  <c:v>10.088670859031607</c:v>
                </c:pt>
                <c:pt idx="3">
                  <c:v>10.128470460712576</c:v>
                </c:pt>
                <c:pt idx="4">
                  <c:v>9.7910849772173538</c:v>
                </c:pt>
                <c:pt idx="5">
                  <c:v>9.7573009850503869</c:v>
                </c:pt>
                <c:pt idx="6">
                  <c:v>9.8424672340237915</c:v>
                </c:pt>
                <c:pt idx="7">
                  <c:v>9.9372158199834679</c:v>
                </c:pt>
                <c:pt idx="8">
                  <c:v>9.7083609920091387</c:v>
                </c:pt>
                <c:pt idx="9">
                  <c:v>9.8866671281666569</c:v>
                </c:pt>
                <c:pt idx="10">
                  <c:v>9.8154882363964333</c:v>
                </c:pt>
                <c:pt idx="11">
                  <c:v>9.6496995148659668</c:v>
                </c:pt>
                <c:pt idx="12">
                  <c:v>9.4951631009345316</c:v>
                </c:pt>
                <c:pt idx="13">
                  <c:v>9.4801223151965015</c:v>
                </c:pt>
                <c:pt idx="14">
                  <c:v>9.4894654859534224</c:v>
                </c:pt>
                <c:pt idx="15">
                  <c:v>9.455018092514095</c:v>
                </c:pt>
                <c:pt idx="16">
                  <c:v>9.2552298292239037</c:v>
                </c:pt>
                <c:pt idx="17">
                  <c:v>9.3634166123553406</c:v>
                </c:pt>
                <c:pt idx="18">
                  <c:v>9.0480466016579477</c:v>
                </c:pt>
                <c:pt idx="19">
                  <c:v>8.7297948382392097</c:v>
                </c:pt>
                <c:pt idx="20">
                  <c:v>8.670606733295422</c:v>
                </c:pt>
                <c:pt idx="21">
                  <c:v>8.8960835438323134</c:v>
                </c:pt>
                <c:pt idx="22">
                  <c:v>9.0466961249507563</c:v>
                </c:pt>
                <c:pt idx="23">
                  <c:v>9.162269204407858</c:v>
                </c:pt>
                <c:pt idx="24">
                  <c:v>9.1039794233618796</c:v>
                </c:pt>
                <c:pt idx="25">
                  <c:v>9.1626313552790641</c:v>
                </c:pt>
                <c:pt idx="26">
                  <c:v>9.2656508098607926</c:v>
                </c:pt>
                <c:pt idx="27">
                  <c:v>8.9857528329428558</c:v>
                </c:pt>
                <c:pt idx="28">
                  <c:v>9.1653183580230397</c:v>
                </c:pt>
                <c:pt idx="29">
                  <c:v>9.0874467823368708</c:v>
                </c:pt>
                <c:pt idx="30">
                  <c:v>9.1593672792455116</c:v>
                </c:pt>
                <c:pt idx="31">
                  <c:v>8.9832732737030625</c:v>
                </c:pt>
                <c:pt idx="32">
                  <c:v>8.9306071359194767</c:v>
                </c:pt>
                <c:pt idx="33">
                  <c:v>9.072428124255504</c:v>
                </c:pt>
                <c:pt idx="34">
                  <c:v>8.9482704277349701</c:v>
                </c:pt>
                <c:pt idx="35">
                  <c:v>9.0135609631375857</c:v>
                </c:pt>
                <c:pt idx="36">
                  <c:v>8.7706610452042195</c:v>
                </c:pt>
                <c:pt idx="37">
                  <c:v>8.8711060915546813</c:v>
                </c:pt>
                <c:pt idx="38">
                  <c:v>8.7830303253368971</c:v>
                </c:pt>
                <c:pt idx="39">
                  <c:v>9.1557702568344279</c:v>
                </c:pt>
                <c:pt idx="40">
                  <c:v>9.1607567761995377</c:v>
                </c:pt>
                <c:pt idx="41">
                  <c:v>9.1377597511164055</c:v>
                </c:pt>
                <c:pt idx="42">
                  <c:v>8.7940921109510999</c:v>
                </c:pt>
                <c:pt idx="43">
                  <c:v>8.9047139908683199</c:v>
                </c:pt>
                <c:pt idx="44">
                  <c:v>8.9490002234830097</c:v>
                </c:pt>
                <c:pt idx="45">
                  <c:v>8.8498063980303954</c:v>
                </c:pt>
                <c:pt idx="46">
                  <c:v>8.8601253651682157</c:v>
                </c:pt>
                <c:pt idx="47">
                  <c:v>8.8218156476168623</c:v>
                </c:pt>
                <c:pt idx="48">
                  <c:v>9.1134220545234985</c:v>
                </c:pt>
                <c:pt idx="49">
                  <c:v>9.1628085444903018</c:v>
                </c:pt>
                <c:pt idx="50">
                  <c:v>9.2781203315509941</c:v>
                </c:pt>
                <c:pt idx="51">
                  <c:v>9.7357313468671123</c:v>
                </c:pt>
                <c:pt idx="52">
                  <c:v>9.3051327631906311</c:v>
                </c:pt>
                <c:pt idx="53">
                  <c:v>9.652535345739091</c:v>
                </c:pt>
                <c:pt idx="54">
                  <c:v>9.4527145834272499</c:v>
                </c:pt>
                <c:pt idx="55">
                  <c:v>9.4340772398169008</c:v>
                </c:pt>
                <c:pt idx="56">
                  <c:v>9.7809500604950372</c:v>
                </c:pt>
                <c:pt idx="57">
                  <c:v>9.6484952844878258</c:v>
                </c:pt>
                <c:pt idx="58">
                  <c:v>9.4649977540652799</c:v>
                </c:pt>
                <c:pt idx="59">
                  <c:v>9.7302993452376629</c:v>
                </c:pt>
                <c:pt idx="60">
                  <c:v>9.8048278513379099</c:v>
                </c:pt>
                <c:pt idx="61">
                  <c:v>9.702688402796122</c:v>
                </c:pt>
                <c:pt idx="62">
                  <c:v>9.6334326975341256</c:v>
                </c:pt>
                <c:pt idx="63">
                  <c:v>9.6686186139516916</c:v>
                </c:pt>
                <c:pt idx="64">
                  <c:v>9.7342311868493159</c:v>
                </c:pt>
                <c:pt idx="65">
                  <c:v>9.783252265308418</c:v>
                </c:pt>
                <c:pt idx="66">
                  <c:v>9.8143597835576255</c:v>
                </c:pt>
                <c:pt idx="67">
                  <c:v>9.5196768941527203</c:v>
                </c:pt>
                <c:pt idx="68">
                  <c:v>9.5981950941655274</c:v>
                </c:pt>
                <c:pt idx="69">
                  <c:v>9.9032247313020001</c:v>
                </c:pt>
                <c:pt idx="70">
                  <c:v>9.960718327731902</c:v>
                </c:pt>
                <c:pt idx="71">
                  <c:v>9.9130741956285853</c:v>
                </c:pt>
                <c:pt idx="72">
                  <c:v>9.7964166519313327</c:v>
                </c:pt>
                <c:pt idx="73">
                  <c:v>9.9308541257416199</c:v>
                </c:pt>
                <c:pt idx="74">
                  <c:v>10.124169830532828</c:v>
                </c:pt>
                <c:pt idx="75">
                  <c:v>9.9061092386752954</c:v>
                </c:pt>
                <c:pt idx="76">
                  <c:v>10.033345106179478</c:v>
                </c:pt>
                <c:pt idx="77">
                  <c:v>9.7718273490231784</c:v>
                </c:pt>
                <c:pt idx="78">
                  <c:v>10.14747165863289</c:v>
                </c:pt>
                <c:pt idx="79">
                  <c:v>10.192744378357425</c:v>
                </c:pt>
                <c:pt idx="80">
                  <c:v>9.8514169843769483</c:v>
                </c:pt>
                <c:pt idx="81">
                  <c:v>9.7192945122304977</c:v>
                </c:pt>
                <c:pt idx="82">
                  <c:v>9.3339944595456981</c:v>
                </c:pt>
                <c:pt idx="83">
                  <c:v>9.2094970463426513</c:v>
                </c:pt>
                <c:pt idx="84">
                  <c:v>9.200598998280114</c:v>
                </c:pt>
                <c:pt idx="85">
                  <c:v>9.0761625147155058</c:v>
                </c:pt>
                <c:pt idx="86">
                  <c:v>8.8612748799723438</c:v>
                </c:pt>
                <c:pt idx="87">
                  <c:v>8.9051587919468105</c:v>
                </c:pt>
                <c:pt idx="88">
                  <c:v>8.8246666810648779</c:v>
                </c:pt>
                <c:pt idx="89">
                  <c:v>8.6258398120622743</c:v>
                </c:pt>
                <c:pt idx="90">
                  <c:v>8.6991892389511669</c:v>
                </c:pt>
                <c:pt idx="91">
                  <c:v>8.6493097857549639</c:v>
                </c:pt>
                <c:pt idx="92">
                  <c:v>8.6349994230856559</c:v>
                </c:pt>
                <c:pt idx="93">
                  <c:v>8.677675409295313</c:v>
                </c:pt>
                <c:pt idx="94">
                  <c:v>8.5958241751035427</c:v>
                </c:pt>
                <c:pt idx="95">
                  <c:v>8.6703972420224869</c:v>
                </c:pt>
                <c:pt idx="96">
                  <c:v>8.7586073972156893</c:v>
                </c:pt>
                <c:pt idx="97">
                  <c:v>8.8456369563356034</c:v>
                </c:pt>
                <c:pt idx="98">
                  <c:v>8.5453435173292576</c:v>
                </c:pt>
                <c:pt idx="99">
                  <c:v>8.7442861488919856</c:v>
                </c:pt>
                <c:pt idx="100">
                  <c:v>8.6076276935160791</c:v>
                </c:pt>
                <c:pt idx="101">
                  <c:v>8.6191334101215915</c:v>
                </c:pt>
                <c:pt idx="102">
                  <c:v>8.8831828132780348</c:v>
                </c:pt>
                <c:pt idx="103">
                  <c:v>8.977092644188021</c:v>
                </c:pt>
                <c:pt idx="104">
                  <c:v>9.2371600441812252</c:v>
                </c:pt>
                <c:pt idx="105">
                  <c:v>9.2710673925521618</c:v>
                </c:pt>
                <c:pt idx="106">
                  <c:v>9.2712897528075509</c:v>
                </c:pt>
                <c:pt idx="107">
                  <c:v>9.4250181532660449</c:v>
                </c:pt>
                <c:pt idx="108">
                  <c:v>9.8320853831786117</c:v>
                </c:pt>
                <c:pt idx="109">
                  <c:v>9.7446658209576356</c:v>
                </c:pt>
                <c:pt idx="110">
                  <c:v>9.5725636378572858</c:v>
                </c:pt>
                <c:pt idx="111">
                  <c:v>9.7778664761073628</c:v>
                </c:pt>
                <c:pt idx="112">
                  <c:v>9.9407468712249543</c:v>
                </c:pt>
                <c:pt idx="113">
                  <c:v>9.9580138545474863</c:v>
                </c:pt>
                <c:pt idx="114">
                  <c:v>9.6894771780866868</c:v>
                </c:pt>
                <c:pt idx="115">
                  <c:v>9.4710470745809925</c:v>
                </c:pt>
                <c:pt idx="116">
                  <c:v>9.7225844684581659</c:v>
                </c:pt>
                <c:pt idx="117">
                  <c:v>9.9292683406422952</c:v>
                </c:pt>
                <c:pt idx="118">
                  <c:v>9.7909754741354522</c:v>
                </c:pt>
                <c:pt idx="119">
                  <c:v>10.046919923941179</c:v>
                </c:pt>
                <c:pt idx="120">
                  <c:v>9.9940240943596184</c:v>
                </c:pt>
                <c:pt idx="121">
                  <c:v>10.004782392740806</c:v>
                </c:pt>
                <c:pt idx="122">
                  <c:v>9.9218170677317694</c:v>
                </c:pt>
                <c:pt idx="123">
                  <c:v>10.037020043442171</c:v>
                </c:pt>
                <c:pt idx="124">
                  <c:v>10.072057373776051</c:v>
                </c:pt>
                <c:pt idx="125">
                  <c:v>9.8559651089636979</c:v>
                </c:pt>
                <c:pt idx="126">
                  <c:v>9.8388951873314241</c:v>
                </c:pt>
                <c:pt idx="127">
                  <c:v>9.8392377347023245</c:v>
                </c:pt>
                <c:pt idx="128">
                  <c:v>9.7260002747721135</c:v>
                </c:pt>
                <c:pt idx="129">
                  <c:v>9.7382285569372833</c:v>
                </c:pt>
                <c:pt idx="130">
                  <c:v>9.5502526402908163</c:v>
                </c:pt>
                <c:pt idx="131">
                  <c:v>10.093178487371839</c:v>
                </c:pt>
                <c:pt idx="132">
                  <c:v>9.8690369592548883</c:v>
                </c:pt>
                <c:pt idx="133">
                  <c:v>9.5778196683515304</c:v>
                </c:pt>
                <c:pt idx="134">
                  <c:v>9.8952406785066476</c:v>
                </c:pt>
                <c:pt idx="135">
                  <c:v>9.8245445367585553</c:v>
                </c:pt>
                <c:pt idx="136">
                  <c:v>9.7223827746065954</c:v>
                </c:pt>
                <c:pt idx="137">
                  <c:v>9.8233877199277053</c:v>
                </c:pt>
                <c:pt idx="138">
                  <c:v>9.6769671378944455</c:v>
                </c:pt>
                <c:pt idx="139">
                  <c:v>9.7097575282158921</c:v>
                </c:pt>
                <c:pt idx="140">
                  <c:v>9.8851467098521635</c:v>
                </c:pt>
                <c:pt idx="141">
                  <c:v>9.8454738749775235</c:v>
                </c:pt>
                <c:pt idx="142">
                  <c:v>10.005078829586289</c:v>
                </c:pt>
                <c:pt idx="143">
                  <c:v>10.124436238616099</c:v>
                </c:pt>
                <c:pt idx="144">
                  <c:v>10.122095116812558</c:v>
                </c:pt>
                <c:pt idx="145">
                  <c:v>10.026022083689881</c:v>
                </c:pt>
                <c:pt idx="146">
                  <c:v>10.192013023263703</c:v>
                </c:pt>
                <c:pt idx="147">
                  <c:v>10.143691974304641</c:v>
                </c:pt>
                <c:pt idx="148">
                  <c:v>10.209287317713482</c:v>
                </c:pt>
                <c:pt idx="149">
                  <c:v>10.118908135502357</c:v>
                </c:pt>
                <c:pt idx="150">
                  <c:v>10.153062103293637</c:v>
                </c:pt>
                <c:pt idx="151">
                  <c:v>10.162428224346234</c:v>
                </c:pt>
                <c:pt idx="152">
                  <c:v>10.027832984140883</c:v>
                </c:pt>
                <c:pt idx="153">
                  <c:v>9.9710137309745477</c:v>
                </c:pt>
                <c:pt idx="154">
                  <c:v>9.9185294681972511</c:v>
                </c:pt>
                <c:pt idx="155">
                  <c:v>10.10479591833059</c:v>
                </c:pt>
                <c:pt idx="156">
                  <c:v>10.205138678018455</c:v>
                </c:pt>
                <c:pt idx="157">
                  <c:v>10.039374721234498</c:v>
                </c:pt>
                <c:pt idx="158">
                  <c:v>9.87470803652627</c:v>
                </c:pt>
                <c:pt idx="159">
                  <c:v>9.7474380375613521</c:v>
                </c:pt>
                <c:pt idx="160">
                  <c:v>9.5287136734798086</c:v>
                </c:pt>
                <c:pt idx="161">
                  <c:v>9.5157924297243941</c:v>
                </c:pt>
                <c:pt idx="162">
                  <c:v>9.7442542458077437</c:v>
                </c:pt>
                <c:pt idx="163">
                  <c:v>9.9655127825600101</c:v>
                </c:pt>
                <c:pt idx="164">
                  <c:v>10.089121401379385</c:v>
                </c:pt>
                <c:pt idx="165">
                  <c:v>10.155499922919532</c:v>
                </c:pt>
                <c:pt idx="166">
                  <c:v>10.250246769744171</c:v>
                </c:pt>
                <c:pt idx="167">
                  <c:v>10.491430757309132</c:v>
                </c:pt>
                <c:pt idx="168">
                  <c:v>10.514318519053591</c:v>
                </c:pt>
                <c:pt idx="169">
                  <c:v>10.458600951174223</c:v>
                </c:pt>
                <c:pt idx="170">
                  <c:v>10.044937860842905</c:v>
                </c:pt>
                <c:pt idx="171">
                  <c:v>9.8660486057568306</c:v>
                </c:pt>
                <c:pt idx="172">
                  <c:v>9.7987900172884466</c:v>
                </c:pt>
                <c:pt idx="173">
                  <c:v>9.5725468842455506</c:v>
                </c:pt>
                <c:pt idx="174">
                  <c:v>9.7453366455469101</c:v>
                </c:pt>
                <c:pt idx="175">
                  <c:v>9.8769449372123539</c:v>
                </c:pt>
                <c:pt idx="176">
                  <c:v>9.9117511939102094</c:v>
                </c:pt>
                <c:pt idx="177">
                  <c:v>9.9903363536577938</c:v>
                </c:pt>
                <c:pt idx="178">
                  <c:v>9.9830462992792341</c:v>
                </c:pt>
                <c:pt idx="179">
                  <c:v>9.9804360161764247</c:v>
                </c:pt>
                <c:pt idx="180">
                  <c:v>10.120981507118049</c:v>
                </c:pt>
                <c:pt idx="181">
                  <c:v>9.8016780882296146</c:v>
                </c:pt>
                <c:pt idx="182">
                  <c:v>9.5466412207624955</c:v>
                </c:pt>
                <c:pt idx="183">
                  <c:v>9.7833741170997275</c:v>
                </c:pt>
                <c:pt idx="184">
                  <c:v>9.6532626147859695</c:v>
                </c:pt>
                <c:pt idx="185">
                  <c:v>9.5960542711217762</c:v>
                </c:pt>
                <c:pt idx="186">
                  <c:v>9.8112492566524736</c:v>
                </c:pt>
                <c:pt idx="187">
                  <c:v>9.7772113104652014</c:v>
                </c:pt>
                <c:pt idx="188">
                  <c:v>9.8984197787340733</c:v>
                </c:pt>
                <c:pt idx="189">
                  <c:v>9.967695742082574</c:v>
                </c:pt>
                <c:pt idx="190">
                  <c:v>10.099951433308265</c:v>
                </c:pt>
                <c:pt idx="191">
                  <c:v>10.136574568162978</c:v>
                </c:pt>
                <c:pt idx="192">
                  <c:v>10.175852928977861</c:v>
                </c:pt>
                <c:pt idx="193">
                  <c:v>10.0955263236694</c:v>
                </c:pt>
                <c:pt idx="194">
                  <c:v>10.158404695134701</c:v>
                </c:pt>
                <c:pt idx="195">
                  <c:v>10.230939457567926</c:v>
                </c:pt>
                <c:pt idx="196">
                  <c:v>10.088432514519774</c:v>
                </c:pt>
                <c:pt idx="197">
                  <c:v>10.305232805769037</c:v>
                </c:pt>
                <c:pt idx="198">
                  <c:v>10.099395728215079</c:v>
                </c:pt>
                <c:pt idx="199">
                  <c:v>10.294716086399236</c:v>
                </c:pt>
                <c:pt idx="200">
                  <c:v>10.184787400682444</c:v>
                </c:pt>
                <c:pt idx="201">
                  <c:v>10.030775966994215</c:v>
                </c:pt>
                <c:pt idx="202">
                  <c:v>9.8964776703635788</c:v>
                </c:pt>
                <c:pt idx="203">
                  <c:v>9.6067569085912439</c:v>
                </c:pt>
                <c:pt idx="204">
                  <c:v>9.2777322465373651</c:v>
                </c:pt>
                <c:pt idx="205">
                  <c:v>9.1409659715768612</c:v>
                </c:pt>
                <c:pt idx="206">
                  <c:v>9.1186073235961782</c:v>
                </c:pt>
                <c:pt idx="207">
                  <c:v>9.2083541391390344</c:v>
                </c:pt>
                <c:pt idx="208">
                  <c:v>9.7319123348171885</c:v>
                </c:pt>
                <c:pt idx="209">
                  <c:v>9.9620386152929292</c:v>
                </c:pt>
                <c:pt idx="210">
                  <c:v>9.8068322342178167</c:v>
                </c:pt>
                <c:pt idx="211">
                  <c:v>9.7638569028153928</c:v>
                </c:pt>
                <c:pt idx="212">
                  <c:v>9.7379535446924415</c:v>
                </c:pt>
                <c:pt idx="213">
                  <c:v>9.8024090476420653</c:v>
                </c:pt>
                <c:pt idx="214">
                  <c:v>10.039453691739897</c:v>
                </c:pt>
                <c:pt idx="215">
                  <c:v>10.105145685863627</c:v>
                </c:pt>
                <c:pt idx="216">
                  <c:v>10.382339889905669</c:v>
                </c:pt>
                <c:pt idx="217">
                  <c:v>10.116193464830538</c:v>
                </c:pt>
                <c:pt idx="218">
                  <c:v>10.454160227684703</c:v>
                </c:pt>
                <c:pt idx="219">
                  <c:v>10.413366698503063</c:v>
                </c:pt>
                <c:pt idx="220">
                  <c:v>10.458310481060195</c:v>
                </c:pt>
                <c:pt idx="221">
                  <c:v>10.44194448753627</c:v>
                </c:pt>
                <c:pt idx="222">
                  <c:v>10.786807486366957</c:v>
                </c:pt>
                <c:pt idx="223">
                  <c:v>10.905364642508074</c:v>
                </c:pt>
                <c:pt idx="224">
                  <c:v>10.703241626004727</c:v>
                </c:pt>
                <c:pt idx="225">
                  <c:v>10.888912767036116</c:v>
                </c:pt>
                <c:pt idx="226">
                  <c:v>10.816557901881154</c:v>
                </c:pt>
                <c:pt idx="227">
                  <c:v>10.629407265688396</c:v>
                </c:pt>
                <c:pt idx="228">
                  <c:v>10.477639390000085</c:v>
                </c:pt>
                <c:pt idx="229">
                  <c:v>10.459258052584431</c:v>
                </c:pt>
                <c:pt idx="230">
                  <c:v>10.345469511502653</c:v>
                </c:pt>
                <c:pt idx="231">
                  <c:v>10.028471373821306</c:v>
                </c:pt>
                <c:pt idx="232">
                  <c:v>9.9615334969942708</c:v>
                </c:pt>
                <c:pt idx="233">
                  <c:v>9.9845730969762787</c:v>
                </c:pt>
                <c:pt idx="234">
                  <c:v>10.450215125315284</c:v>
                </c:pt>
                <c:pt idx="235">
                  <c:v>10.33515422127239</c:v>
                </c:pt>
                <c:pt idx="236">
                  <c:v>10.291252480911789</c:v>
                </c:pt>
                <c:pt idx="237">
                  <c:v>10.230251700169628</c:v>
                </c:pt>
                <c:pt idx="238">
                  <c:v>10.293621179276986</c:v>
                </c:pt>
                <c:pt idx="239">
                  <c:v>10.606618740112765</c:v>
                </c:pt>
                <c:pt idx="240">
                  <c:v>11.047701594911327</c:v>
                </c:pt>
                <c:pt idx="241">
                  <c:v>11.05372804767018</c:v>
                </c:pt>
                <c:pt idx="242">
                  <c:v>11.035090089183681</c:v>
                </c:pt>
                <c:pt idx="243">
                  <c:v>11.038801482658817</c:v>
                </c:pt>
                <c:pt idx="244">
                  <c:v>10.885670406472652</c:v>
                </c:pt>
                <c:pt idx="245">
                  <c:v>11.003701700201704</c:v>
                </c:pt>
                <c:pt idx="246">
                  <c:v>10.938604981843557</c:v>
                </c:pt>
                <c:pt idx="247">
                  <c:v>10.628999760855704</c:v>
                </c:pt>
                <c:pt idx="248">
                  <c:v>10.771667080041848</c:v>
                </c:pt>
                <c:pt idx="249">
                  <c:v>10.805491425821762</c:v>
                </c:pt>
                <c:pt idx="250">
                  <c:v>10.744994745402295</c:v>
                </c:pt>
              </c:numCache>
            </c:numRef>
          </c:val>
          <c:smooth val="0"/>
          <c:extLst>
            <c:ext xmlns:c16="http://schemas.microsoft.com/office/drawing/2014/chart" uri="{C3380CC4-5D6E-409C-BE32-E72D297353CC}">
              <c16:uniqueId val="{00000001-4AA1-8243-9367-C7FF7A05A835}"/>
            </c:ext>
          </c:extLst>
        </c:ser>
        <c:dLbls>
          <c:showLegendKey val="0"/>
          <c:showVal val="0"/>
          <c:showCatName val="0"/>
          <c:showSerName val="0"/>
          <c:showPercent val="0"/>
          <c:showBubbleSize val="0"/>
        </c:dLbls>
        <c:smooth val="0"/>
        <c:axId val="164000896"/>
        <c:axId val="164002432"/>
      </c:lineChart>
      <c:catAx>
        <c:axId val="164000896"/>
        <c:scaling>
          <c:orientation val="minMax"/>
        </c:scaling>
        <c:delete val="0"/>
        <c:axPos val="b"/>
        <c:majorTickMark val="out"/>
        <c:minorTickMark val="none"/>
        <c:tickLblPos val="nextTo"/>
        <c:crossAx val="164002432"/>
        <c:crosses val="autoZero"/>
        <c:auto val="1"/>
        <c:lblAlgn val="ctr"/>
        <c:lblOffset val="100"/>
        <c:noMultiLvlLbl val="0"/>
      </c:catAx>
      <c:valAx>
        <c:axId val="164002432"/>
        <c:scaling>
          <c:orientation val="minMax"/>
        </c:scaling>
        <c:delete val="0"/>
        <c:axPos val="l"/>
        <c:majorGridlines/>
        <c:numFmt formatCode="_-[$$-409]* #,##0.00_ ;_-[$$-409]* \-#,##0.00\ ;_-[$$-409]* &quot;-&quot;??_ ;_-@_ " sourceLinked="1"/>
        <c:majorTickMark val="out"/>
        <c:minorTickMark val="none"/>
        <c:tickLblPos val="nextTo"/>
        <c:crossAx val="164000896"/>
        <c:crosses val="autoZero"/>
        <c:crossBetween val="between"/>
      </c:valAx>
    </c:plotArea>
    <c:legend>
      <c:legendPos val="r"/>
      <c:overlay val="0"/>
    </c:legend>
    <c:plotVisOnly val="1"/>
    <c:dispBlanksAs val="gap"/>
    <c:showDLblsOverMax val="0"/>
  </c:chart>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Apple Actual vs Simulated</a:t>
            </a:r>
            <a:endParaRPr lang="en-US"/>
          </a:p>
        </c:rich>
      </c:tx>
      <c:overlay val="0"/>
    </c:title>
    <c:autoTitleDeleted val="0"/>
    <c:plotArea>
      <c:layout/>
      <c:lineChart>
        <c:grouping val="standard"/>
        <c:varyColors val="0"/>
        <c:ser>
          <c:idx val="0"/>
          <c:order val="0"/>
          <c:tx>
            <c:v>AAPL Close</c:v>
          </c:tx>
          <c:spPr>
            <a:ln w="9525"/>
          </c:spPr>
          <c:val>
            <c:numRef>
              <c:f>'Simulated Values'!$D$2:$D$252</c:f>
              <c:numCache>
                <c:formatCode>_-[$$-409]* #,##0.00_ ;_-[$$-409]* \-#,##0.00\ ;_-[$$-409]* "-"??_ ;_-@_ </c:formatCode>
                <c:ptCount val="251"/>
                <c:pt idx="0">
                  <c:v>221.53</c:v>
                </c:pt>
                <c:pt idx="1">
                  <c:v>223.85</c:v>
                </c:pt>
                <c:pt idx="2">
                  <c:v>217.9</c:v>
                </c:pt>
                <c:pt idx="3">
                  <c:v>222.13</c:v>
                </c:pt>
                <c:pt idx="4">
                  <c:v>223.19</c:v>
                </c:pt>
                <c:pt idx="5">
                  <c:v>223.89</c:v>
                </c:pt>
                <c:pt idx="6">
                  <c:v>203.19</c:v>
                </c:pt>
                <c:pt idx="7">
                  <c:v>188.38</c:v>
                </c:pt>
                <c:pt idx="8">
                  <c:v>181.46</c:v>
                </c:pt>
                <c:pt idx="9">
                  <c:v>172.42</c:v>
                </c:pt>
                <c:pt idx="10">
                  <c:v>198.85</c:v>
                </c:pt>
                <c:pt idx="11">
                  <c:v>190.42</c:v>
                </c:pt>
                <c:pt idx="12">
                  <c:v>198.15</c:v>
                </c:pt>
                <c:pt idx="13">
                  <c:v>202.52</c:v>
                </c:pt>
                <c:pt idx="14">
                  <c:v>202.14</c:v>
                </c:pt>
                <c:pt idx="15">
                  <c:v>194.27</c:v>
                </c:pt>
                <c:pt idx="16">
                  <c:v>196.98</c:v>
                </c:pt>
                <c:pt idx="17">
                  <c:v>193.16</c:v>
                </c:pt>
                <c:pt idx="18">
                  <c:v>199.74</c:v>
                </c:pt>
                <c:pt idx="19">
                  <c:v>204.6</c:v>
                </c:pt>
                <c:pt idx="20">
                  <c:v>208.37</c:v>
                </c:pt>
                <c:pt idx="21">
                  <c:v>209.28</c:v>
                </c:pt>
                <c:pt idx="22">
                  <c:v>210.14</c:v>
                </c:pt>
                <c:pt idx="23">
                  <c:v>211.21</c:v>
                </c:pt>
                <c:pt idx="24">
                  <c:v>212.5</c:v>
                </c:pt>
                <c:pt idx="25">
                  <c:v>213.32</c:v>
                </c:pt>
                <c:pt idx="26">
                  <c:v>205.35</c:v>
                </c:pt>
                <c:pt idx="27">
                  <c:v>198.89</c:v>
                </c:pt>
                <c:pt idx="28">
                  <c:v>198.51</c:v>
                </c:pt>
                <c:pt idx="29">
                  <c:v>196.25</c:v>
                </c:pt>
                <c:pt idx="30">
                  <c:v>197.49</c:v>
                </c:pt>
                <c:pt idx="31">
                  <c:v>198.53</c:v>
                </c:pt>
                <c:pt idx="32">
                  <c:v>210.79</c:v>
                </c:pt>
                <c:pt idx="33">
                  <c:v>212.93</c:v>
                </c:pt>
                <c:pt idx="34">
                  <c:v>212.33</c:v>
                </c:pt>
                <c:pt idx="35">
                  <c:v>211.45</c:v>
                </c:pt>
                <c:pt idx="36">
                  <c:v>211.26</c:v>
                </c:pt>
                <c:pt idx="37">
                  <c:v>208.78</c:v>
                </c:pt>
                <c:pt idx="38">
                  <c:v>206.86</c:v>
                </c:pt>
                <c:pt idx="39">
                  <c:v>202.09</c:v>
                </c:pt>
                <c:pt idx="40">
                  <c:v>201.36</c:v>
                </c:pt>
                <c:pt idx="41">
                  <c:v>195.27</c:v>
                </c:pt>
                <c:pt idx="42">
                  <c:v>200.21</c:v>
                </c:pt>
                <c:pt idx="43">
                  <c:v>200.42</c:v>
                </c:pt>
                <c:pt idx="44">
                  <c:v>199.95</c:v>
                </c:pt>
                <c:pt idx="45">
                  <c:v>200.85</c:v>
                </c:pt>
                <c:pt idx="46">
                  <c:v>201.7</c:v>
                </c:pt>
                <c:pt idx="47">
                  <c:v>203.27</c:v>
                </c:pt>
                <c:pt idx="48">
                  <c:v>202.82</c:v>
                </c:pt>
                <c:pt idx="49">
                  <c:v>200.63</c:v>
                </c:pt>
                <c:pt idx="50">
                  <c:v>203.92</c:v>
                </c:pt>
                <c:pt idx="51">
                  <c:v>201.45</c:v>
                </c:pt>
                <c:pt idx="52">
                  <c:v>202.67</c:v>
                </c:pt>
                <c:pt idx="53">
                  <c:v>198.78</c:v>
                </c:pt>
                <c:pt idx="54">
                  <c:v>199.2</c:v>
                </c:pt>
                <c:pt idx="55">
                  <c:v>196.45</c:v>
                </c:pt>
                <c:pt idx="56">
                  <c:v>198.42</c:v>
                </c:pt>
                <c:pt idx="57">
                  <c:v>195.64</c:v>
                </c:pt>
                <c:pt idx="58">
                  <c:v>196.58</c:v>
                </c:pt>
                <c:pt idx="59">
                  <c:v>201</c:v>
                </c:pt>
                <c:pt idx="60">
                  <c:v>201.5</c:v>
                </c:pt>
                <c:pt idx="61">
                  <c:v>200.3</c:v>
                </c:pt>
                <c:pt idx="62">
                  <c:v>201.56</c:v>
                </c:pt>
                <c:pt idx="63">
                  <c:v>201</c:v>
                </c:pt>
                <c:pt idx="64">
                  <c:v>201.08</c:v>
                </c:pt>
                <c:pt idx="65">
                  <c:v>205.17</c:v>
                </c:pt>
                <c:pt idx="66">
                  <c:v>207.82</c:v>
                </c:pt>
                <c:pt idx="67">
                  <c:v>212.44</c:v>
                </c:pt>
                <c:pt idx="68">
                  <c:v>213.55</c:v>
                </c:pt>
                <c:pt idx="69">
                  <c:v>209.95</c:v>
                </c:pt>
                <c:pt idx="70">
                  <c:v>210.01</c:v>
                </c:pt>
                <c:pt idx="71">
                  <c:v>211.14</c:v>
                </c:pt>
                <c:pt idx="72">
                  <c:v>212.41</c:v>
                </c:pt>
                <c:pt idx="73">
                  <c:v>211.16</c:v>
                </c:pt>
                <c:pt idx="74">
                  <c:v>208.62</c:v>
                </c:pt>
                <c:pt idx="75">
                  <c:v>209.11</c:v>
                </c:pt>
                <c:pt idx="76">
                  <c:v>210.16</c:v>
                </c:pt>
                <c:pt idx="77">
                  <c:v>210.02</c:v>
                </c:pt>
                <c:pt idx="78">
                  <c:v>211.18</c:v>
                </c:pt>
                <c:pt idx="79">
                  <c:v>212.48</c:v>
                </c:pt>
                <c:pt idx="80">
                  <c:v>214.4</c:v>
                </c:pt>
                <c:pt idx="81">
                  <c:v>214.15</c:v>
                </c:pt>
                <c:pt idx="82">
                  <c:v>213.76</c:v>
                </c:pt>
                <c:pt idx="83">
                  <c:v>213.88</c:v>
                </c:pt>
                <c:pt idx="84">
                  <c:v>214.05</c:v>
                </c:pt>
                <c:pt idx="85">
                  <c:v>211.27</c:v>
                </c:pt>
                <c:pt idx="86">
                  <c:v>209.05</c:v>
                </c:pt>
                <c:pt idx="87">
                  <c:v>207.57</c:v>
                </c:pt>
                <c:pt idx="88">
                  <c:v>202.38</c:v>
                </c:pt>
                <c:pt idx="89">
                  <c:v>203.35</c:v>
                </c:pt>
                <c:pt idx="90">
                  <c:v>202.92</c:v>
                </c:pt>
                <c:pt idx="91">
                  <c:v>213.25</c:v>
                </c:pt>
                <c:pt idx="92">
                  <c:v>220.03</c:v>
                </c:pt>
                <c:pt idx="93">
                  <c:v>229.35</c:v>
                </c:pt>
                <c:pt idx="94">
                  <c:v>227.18</c:v>
                </c:pt>
                <c:pt idx="95">
                  <c:v>229.65</c:v>
                </c:pt>
                <c:pt idx="96">
                  <c:v>233.33</c:v>
                </c:pt>
                <c:pt idx="97">
                  <c:v>232.78</c:v>
                </c:pt>
                <c:pt idx="98">
                  <c:v>231.59</c:v>
                </c:pt>
                <c:pt idx="99">
                  <c:v>230.89</c:v>
                </c:pt>
                <c:pt idx="100">
                  <c:v>230.56</c:v>
                </c:pt>
                <c:pt idx="101">
                  <c:v>226.01</c:v>
                </c:pt>
                <c:pt idx="102">
                  <c:v>224.9</c:v>
                </c:pt>
                <c:pt idx="103">
                  <c:v>227.76</c:v>
                </c:pt>
                <c:pt idx="104">
                  <c:v>227.16</c:v>
                </c:pt>
                <c:pt idx="105">
                  <c:v>229.31</c:v>
                </c:pt>
                <c:pt idx="106">
                  <c:v>230.49</c:v>
                </c:pt>
                <c:pt idx="107">
                  <c:v>232.56</c:v>
                </c:pt>
                <c:pt idx="108">
                  <c:v>232.14</c:v>
                </c:pt>
                <c:pt idx="109">
                  <c:v>229.72</c:v>
                </c:pt>
                <c:pt idx="110">
                  <c:v>238.47</c:v>
                </c:pt>
                <c:pt idx="111">
                  <c:v>239.78</c:v>
                </c:pt>
                <c:pt idx="112">
                  <c:v>239.69</c:v>
                </c:pt>
                <c:pt idx="113">
                  <c:v>237.88</c:v>
                </c:pt>
                <c:pt idx="114">
                  <c:v>234.35</c:v>
                </c:pt>
                <c:pt idx="115">
                  <c:v>226.79</c:v>
                </c:pt>
                <c:pt idx="116">
                  <c:v>230.03</c:v>
                </c:pt>
                <c:pt idx="117">
                  <c:v>234.07</c:v>
                </c:pt>
                <c:pt idx="118">
                  <c:v>236.7</c:v>
                </c:pt>
                <c:pt idx="119">
                  <c:v>238.15</c:v>
                </c:pt>
                <c:pt idx="120">
                  <c:v>238.99</c:v>
                </c:pt>
                <c:pt idx="121">
                  <c:v>237.88</c:v>
                </c:pt>
                <c:pt idx="122">
                  <c:v>245.5</c:v>
                </c:pt>
                <c:pt idx="123">
                  <c:v>256.08</c:v>
                </c:pt>
                <c:pt idx="124">
                  <c:v>254.43</c:v>
                </c:pt>
                <c:pt idx="125">
                  <c:v>252.31</c:v>
                </c:pt>
                <c:pt idx="126">
                  <c:v>256.87</c:v>
                </c:pt>
                <c:pt idx="127">
                  <c:v>255.46</c:v>
                </c:pt>
                <c:pt idx="128">
                  <c:v>254.43</c:v>
                </c:pt>
                <c:pt idx="129">
                  <c:v>254.63</c:v>
                </c:pt>
                <c:pt idx="130">
                  <c:v>255.45</c:v>
                </c:pt>
                <c:pt idx="131">
                  <c:v>257.13</c:v>
                </c:pt>
                <c:pt idx="132">
                  <c:v>258.02</c:v>
                </c:pt>
                <c:pt idx="133">
                  <c:v>256.69</c:v>
                </c:pt>
                <c:pt idx="134">
                  <c:v>256.48</c:v>
                </c:pt>
                <c:pt idx="135">
                  <c:v>258.06</c:v>
                </c:pt>
                <c:pt idx="136">
                  <c:v>254.04</c:v>
                </c:pt>
                <c:pt idx="137">
                  <c:v>245.27</c:v>
                </c:pt>
                <c:pt idx="138">
                  <c:v>247.66</c:v>
                </c:pt>
                <c:pt idx="139">
                  <c:v>247.77</c:v>
                </c:pt>
                <c:pt idx="140">
                  <c:v>249.34</c:v>
                </c:pt>
                <c:pt idx="141">
                  <c:v>247.45</c:v>
                </c:pt>
                <c:pt idx="142">
                  <c:v>252.29</c:v>
                </c:pt>
                <c:pt idx="143">
                  <c:v>262.24</c:v>
                </c:pt>
                <c:pt idx="144">
                  <c:v>262.77</c:v>
                </c:pt>
                <c:pt idx="145">
                  <c:v>258.45</c:v>
                </c:pt>
                <c:pt idx="146">
                  <c:v>259.58</c:v>
                </c:pt>
                <c:pt idx="147">
                  <c:v>262.82</c:v>
                </c:pt>
                <c:pt idx="148">
                  <c:v>268.81</c:v>
                </c:pt>
                <c:pt idx="149">
                  <c:v>269</c:v>
                </c:pt>
                <c:pt idx="150">
                  <c:v>269.7</c:v>
                </c:pt>
                <c:pt idx="151">
                  <c:v>271.39999999999998</c:v>
                </c:pt>
                <c:pt idx="152">
                  <c:v>270.37</c:v>
                </c:pt>
                <c:pt idx="153">
                  <c:v>269.05</c:v>
                </c:pt>
                <c:pt idx="154">
                  <c:v>270.04000000000002</c:v>
                </c:pt>
                <c:pt idx="155">
                  <c:v>270.14</c:v>
                </c:pt>
                <c:pt idx="156">
                  <c:v>269.77</c:v>
                </c:pt>
                <c:pt idx="157">
                  <c:v>268.47000000000003</c:v>
                </c:pt>
                <c:pt idx="158">
                  <c:v>269.43</c:v>
                </c:pt>
                <c:pt idx="159">
                  <c:v>275.25</c:v>
                </c:pt>
                <c:pt idx="160">
                  <c:v>273.47000000000003</c:v>
                </c:pt>
                <c:pt idx="161">
                  <c:v>272.95</c:v>
                </c:pt>
                <c:pt idx="162">
                  <c:v>272.41000000000003</c:v>
                </c:pt>
                <c:pt idx="163">
                  <c:v>267.45999999999998</c:v>
                </c:pt>
                <c:pt idx="164">
                  <c:v>267.44</c:v>
                </c:pt>
                <c:pt idx="165">
                  <c:v>268.56</c:v>
                </c:pt>
                <c:pt idx="166">
                  <c:v>266.25</c:v>
                </c:pt>
                <c:pt idx="167">
                  <c:v>271.49</c:v>
                </c:pt>
                <c:pt idx="168">
                  <c:v>275.92</c:v>
                </c:pt>
                <c:pt idx="169">
                  <c:v>276.97000000000003</c:v>
                </c:pt>
                <c:pt idx="170">
                  <c:v>277.55</c:v>
                </c:pt>
                <c:pt idx="171">
                  <c:v>278.85000000000002</c:v>
                </c:pt>
                <c:pt idx="172">
                  <c:v>283.10000000000002</c:v>
                </c:pt>
                <c:pt idx="173">
                  <c:v>286.19</c:v>
                </c:pt>
                <c:pt idx="174">
                  <c:v>284.14999999999998</c:v>
                </c:pt>
                <c:pt idx="175">
                  <c:v>280.7</c:v>
                </c:pt>
                <c:pt idx="176">
                  <c:v>278.77999999999997</c:v>
                </c:pt>
                <c:pt idx="177">
                  <c:v>277.89</c:v>
                </c:pt>
                <c:pt idx="178">
                  <c:v>277.18</c:v>
                </c:pt>
                <c:pt idx="179">
                  <c:v>278.77999999999997</c:v>
                </c:pt>
                <c:pt idx="180">
                  <c:v>278.02999999999997</c:v>
                </c:pt>
                <c:pt idx="181">
                  <c:v>278.27999999999997</c:v>
                </c:pt>
                <c:pt idx="182">
                  <c:v>274.11</c:v>
                </c:pt>
                <c:pt idx="183">
                  <c:v>274.61</c:v>
                </c:pt>
                <c:pt idx="184">
                  <c:v>271.83999999999997</c:v>
                </c:pt>
                <c:pt idx="185">
                  <c:v>272.19</c:v>
                </c:pt>
                <c:pt idx="186">
                  <c:v>273.67</c:v>
                </c:pt>
                <c:pt idx="187">
                  <c:v>270.97000000000003</c:v>
                </c:pt>
                <c:pt idx="188">
                  <c:v>272.36</c:v>
                </c:pt>
                <c:pt idx="189">
                  <c:v>273.81</c:v>
                </c:pt>
                <c:pt idx="190">
                  <c:v>273.39999999999998</c:v>
                </c:pt>
                <c:pt idx="191">
                  <c:v>273.76</c:v>
                </c:pt>
                <c:pt idx="192">
                  <c:v>273.08</c:v>
                </c:pt>
                <c:pt idx="193">
                  <c:v>271.86</c:v>
                </c:pt>
                <c:pt idx="194">
                  <c:v>271.01</c:v>
                </c:pt>
                <c:pt idx="195">
                  <c:v>267.26</c:v>
                </c:pt>
                <c:pt idx="196">
                  <c:v>262.36</c:v>
                </c:pt>
                <c:pt idx="197">
                  <c:v>260.33</c:v>
                </c:pt>
                <c:pt idx="198">
                  <c:v>259.04000000000002</c:v>
                </c:pt>
                <c:pt idx="199">
                  <c:v>259.37</c:v>
                </c:pt>
                <c:pt idx="200">
                  <c:v>260.25</c:v>
                </c:pt>
                <c:pt idx="201">
                  <c:v>261.05</c:v>
                </c:pt>
                <c:pt idx="202">
                  <c:v>259.95999999999998</c:v>
                </c:pt>
                <c:pt idx="203">
                  <c:v>258.20999999999998</c:v>
                </c:pt>
                <c:pt idx="204">
                  <c:v>255.53</c:v>
                </c:pt>
                <c:pt idx="205">
                  <c:v>246.7</c:v>
                </c:pt>
                <c:pt idx="206">
                  <c:v>247.65</c:v>
                </c:pt>
                <c:pt idx="207">
                  <c:v>248.35</c:v>
                </c:pt>
                <c:pt idx="208">
                  <c:v>248.04</c:v>
                </c:pt>
                <c:pt idx="209">
                  <c:v>255.41</c:v>
                </c:pt>
                <c:pt idx="210">
                  <c:v>258.27</c:v>
                </c:pt>
                <c:pt idx="211">
                  <c:v>256.44</c:v>
                </c:pt>
                <c:pt idx="212">
                  <c:v>258.27999999999997</c:v>
                </c:pt>
                <c:pt idx="213">
                  <c:v>259.48</c:v>
                </c:pt>
                <c:pt idx="214">
                  <c:v>270.01</c:v>
                </c:pt>
                <c:pt idx="215">
                  <c:v>269.48</c:v>
                </c:pt>
                <c:pt idx="216">
                  <c:v>276.49</c:v>
                </c:pt>
                <c:pt idx="217">
                  <c:v>275.91000000000003</c:v>
                </c:pt>
                <c:pt idx="218">
                  <c:v>278.12</c:v>
                </c:pt>
                <c:pt idx="219">
                  <c:v>274.62</c:v>
                </c:pt>
                <c:pt idx="220">
                  <c:v>273.68</c:v>
                </c:pt>
                <c:pt idx="221">
                  <c:v>275.5</c:v>
                </c:pt>
                <c:pt idx="222">
                  <c:v>261.73</c:v>
                </c:pt>
                <c:pt idx="223">
                  <c:v>255.78</c:v>
                </c:pt>
                <c:pt idx="224">
                  <c:v>263.88</c:v>
                </c:pt>
                <c:pt idx="225">
                  <c:v>264.35000000000002</c:v>
                </c:pt>
                <c:pt idx="226">
                  <c:v>260.58</c:v>
                </c:pt>
                <c:pt idx="227">
                  <c:v>264.58</c:v>
                </c:pt>
                <c:pt idx="228">
                  <c:v>266.18</c:v>
                </c:pt>
                <c:pt idx="229">
                  <c:v>272.14</c:v>
                </c:pt>
                <c:pt idx="230">
                  <c:v>274.23</c:v>
                </c:pt>
                <c:pt idx="231">
                  <c:v>272.95</c:v>
                </c:pt>
                <c:pt idx="232">
                  <c:v>264.18</c:v>
                </c:pt>
                <c:pt idx="233">
                  <c:v>264.72000000000003</c:v>
                </c:pt>
                <c:pt idx="234">
                  <c:v>263.75</c:v>
                </c:pt>
                <c:pt idx="235">
                  <c:v>262.52</c:v>
                </c:pt>
                <c:pt idx="236">
                  <c:v>260.29000000000002</c:v>
                </c:pt>
                <c:pt idx="237">
                  <c:v>257.45999999999998</c:v>
                </c:pt>
                <c:pt idx="238">
                  <c:v>259.88</c:v>
                </c:pt>
                <c:pt idx="239">
                  <c:v>260.83</c:v>
                </c:pt>
                <c:pt idx="240">
                  <c:v>260.81</c:v>
                </c:pt>
                <c:pt idx="241">
                  <c:v>255.76</c:v>
                </c:pt>
                <c:pt idx="242">
                  <c:v>250.12</c:v>
                </c:pt>
                <c:pt idx="243">
                  <c:v>252.82</c:v>
                </c:pt>
                <c:pt idx="244">
                  <c:v>254.23</c:v>
                </c:pt>
                <c:pt idx="245">
                  <c:v>249.94</c:v>
                </c:pt>
                <c:pt idx="246">
                  <c:v>248.96</c:v>
                </c:pt>
                <c:pt idx="247">
                  <c:v>247.99</c:v>
                </c:pt>
                <c:pt idx="248">
                  <c:v>251.49</c:v>
                </c:pt>
                <c:pt idx="249">
                  <c:v>251.64</c:v>
                </c:pt>
                <c:pt idx="250">
                  <c:v>252.62</c:v>
                </c:pt>
              </c:numCache>
            </c:numRef>
          </c:val>
          <c:smooth val="0"/>
          <c:extLst>
            <c:ext xmlns:c16="http://schemas.microsoft.com/office/drawing/2014/chart" uri="{C3380CC4-5D6E-409C-BE32-E72D297353CC}">
              <c16:uniqueId val="{00000000-70C6-6B4C-9E62-9AA1224D53E1}"/>
            </c:ext>
          </c:extLst>
        </c:ser>
        <c:ser>
          <c:idx val="1"/>
          <c:order val="1"/>
          <c:tx>
            <c:v>AAPL Sim</c:v>
          </c:tx>
          <c:spPr>
            <a:ln w="9525"/>
          </c:spPr>
          <c:val>
            <c:numRef>
              <c:f>'Simulated Values'!$L$2:$L$252</c:f>
              <c:numCache>
                <c:formatCode>General</c:formatCode>
                <c:ptCount val="251"/>
                <c:pt idx="1">
                  <c:v>1.8134797002641308E-2</c:v>
                </c:pt>
                <c:pt idx="2">
                  <c:v>-1.6358785298546792E-2</c:v>
                </c:pt>
                <c:pt idx="3">
                  <c:v>6.3690881258268491E-3</c:v>
                </c:pt>
                <c:pt idx="4">
                  <c:v>2.5740284223795123E-2</c:v>
                </c:pt>
                <c:pt idx="5">
                  <c:v>2.5122509137583068E-2</c:v>
                </c:pt>
                <c:pt idx="6">
                  <c:v>7.4436663706059416E-4</c:v>
                </c:pt>
                <c:pt idx="7">
                  <c:v>2.9387050618928635E-2</c:v>
                </c:pt>
                <c:pt idx="8">
                  <c:v>6.0155317580340923E-3</c:v>
                </c:pt>
                <c:pt idx="9">
                  <c:v>2.7596139288168536E-2</c:v>
                </c:pt>
                <c:pt idx="10">
                  <c:v>1.8735741450354028E-3</c:v>
                </c:pt>
                <c:pt idx="11">
                  <c:v>-4.7916411381982906E-3</c:v>
                </c:pt>
                <c:pt idx="12">
                  <c:v>8.3043750562150596E-3</c:v>
                </c:pt>
                <c:pt idx="13">
                  <c:v>-1.5896735727127024E-2</c:v>
                </c:pt>
                <c:pt idx="14">
                  <c:v>-9.8427465696983244E-3</c:v>
                </c:pt>
                <c:pt idx="15">
                  <c:v>-5.4865421142589708E-3</c:v>
                </c:pt>
                <c:pt idx="16">
                  <c:v>1.2318288148091409E-2</c:v>
                </c:pt>
                <c:pt idx="17">
                  <c:v>-5.7546857521171679E-3</c:v>
                </c:pt>
                <c:pt idx="18">
                  <c:v>2.2042965372507155E-2</c:v>
                </c:pt>
                <c:pt idx="19">
                  <c:v>-1.7932197315862389E-2</c:v>
                </c:pt>
                <c:pt idx="20">
                  <c:v>-2.1210136799121558E-3</c:v>
                </c:pt>
                <c:pt idx="21">
                  <c:v>1.048855097615823E-2</c:v>
                </c:pt>
                <c:pt idx="22">
                  <c:v>-3.9363077118953274E-3</c:v>
                </c:pt>
                <c:pt idx="23">
                  <c:v>3.9889585984454797E-3</c:v>
                </c:pt>
                <c:pt idx="24">
                  <c:v>-1.0739288678672311E-2</c:v>
                </c:pt>
                <c:pt idx="25">
                  <c:v>-2.8725439567803802E-3</c:v>
                </c:pt>
                <c:pt idx="26">
                  <c:v>6.2690232173162426E-3</c:v>
                </c:pt>
                <c:pt idx="27">
                  <c:v>2.3406126212758217E-2</c:v>
                </c:pt>
                <c:pt idx="28">
                  <c:v>1.3161195381943583E-2</c:v>
                </c:pt>
                <c:pt idx="29">
                  <c:v>-4.2582245878299389E-2</c:v>
                </c:pt>
                <c:pt idx="30">
                  <c:v>5.672425672184081E-3</c:v>
                </c:pt>
                <c:pt idx="31">
                  <c:v>-1.9788449211893713E-3</c:v>
                </c:pt>
                <c:pt idx="32">
                  <c:v>-4.0246750305620693E-2</c:v>
                </c:pt>
                <c:pt idx="33">
                  <c:v>-1.1394081759027359E-2</c:v>
                </c:pt>
                <c:pt idx="34">
                  <c:v>-1.9525552610232599E-2</c:v>
                </c:pt>
                <c:pt idx="35">
                  <c:v>-5.1510284442575797E-3</c:v>
                </c:pt>
                <c:pt idx="36">
                  <c:v>3.8654650494765741E-2</c:v>
                </c:pt>
                <c:pt idx="37">
                  <c:v>-1.5072237674527983E-2</c:v>
                </c:pt>
                <c:pt idx="38">
                  <c:v>4.5678241743395125E-2</c:v>
                </c:pt>
                <c:pt idx="39">
                  <c:v>-1.0530188420427477E-2</c:v>
                </c:pt>
                <c:pt idx="40">
                  <c:v>-1.3313720577085835E-3</c:v>
                </c:pt>
                <c:pt idx="41">
                  <c:v>-1.0730161171789713E-2</c:v>
                </c:pt>
                <c:pt idx="42">
                  <c:v>4.4212737131508004E-3</c:v>
                </c:pt>
                <c:pt idx="43">
                  <c:v>-7.25904489738953E-3</c:v>
                </c:pt>
                <c:pt idx="44">
                  <c:v>-1.9344376884006861E-3</c:v>
                </c:pt>
                <c:pt idx="45">
                  <c:v>-1.9862086700280477E-2</c:v>
                </c:pt>
                <c:pt idx="46">
                  <c:v>-4.4507656344147332E-3</c:v>
                </c:pt>
                <c:pt idx="47">
                  <c:v>2.3206654212849662E-2</c:v>
                </c:pt>
                <c:pt idx="48">
                  <c:v>5.6147107003525501E-2</c:v>
                </c:pt>
                <c:pt idx="49">
                  <c:v>8.9932570397597035E-3</c:v>
                </c:pt>
                <c:pt idx="50">
                  <c:v>3.3166650968709466E-2</c:v>
                </c:pt>
                <c:pt idx="51">
                  <c:v>3.1612398862564367E-2</c:v>
                </c:pt>
                <c:pt idx="52">
                  <c:v>3.3984680602007843E-2</c:v>
                </c:pt>
                <c:pt idx="53">
                  <c:v>3.2408132912177208E-2</c:v>
                </c:pt>
                <c:pt idx="54">
                  <c:v>-1.4133498558543464E-2</c:v>
                </c:pt>
                <c:pt idx="55">
                  <c:v>-3.1105650414707784E-2</c:v>
                </c:pt>
                <c:pt idx="56">
                  <c:v>8.0388633996556109E-3</c:v>
                </c:pt>
                <c:pt idx="57">
                  <c:v>-5.757379426026667E-3</c:v>
                </c:pt>
                <c:pt idx="58">
                  <c:v>-2.0094789008365796E-2</c:v>
                </c:pt>
                <c:pt idx="59">
                  <c:v>4.3700239123671695E-3</c:v>
                </c:pt>
                <c:pt idx="60">
                  <c:v>2.5998960140211191E-2</c:v>
                </c:pt>
                <c:pt idx="61">
                  <c:v>-3.1966318761434555E-2</c:v>
                </c:pt>
                <c:pt idx="62">
                  <c:v>-3.9809950351906265E-2</c:v>
                </c:pt>
                <c:pt idx="63">
                  <c:v>2.4635969631648224E-2</c:v>
                </c:pt>
                <c:pt idx="64">
                  <c:v>-9.7405449267410011E-5</c:v>
                </c:pt>
                <c:pt idx="65">
                  <c:v>1.2499737539828596E-3</c:v>
                </c:pt>
                <c:pt idx="66">
                  <c:v>3.1507417460693202E-2</c:v>
                </c:pt>
                <c:pt idx="67">
                  <c:v>6.5509536282864897E-3</c:v>
                </c:pt>
                <c:pt idx="68">
                  <c:v>-2.264842163129057E-2</c:v>
                </c:pt>
                <c:pt idx="69">
                  <c:v>-2.708821286762828E-3</c:v>
                </c:pt>
                <c:pt idx="70">
                  <c:v>1.6901812566108926E-2</c:v>
                </c:pt>
                <c:pt idx="71">
                  <c:v>3.0632625349765456E-2</c:v>
                </c:pt>
                <c:pt idx="72">
                  <c:v>-2.3895198758179831E-2</c:v>
                </c:pt>
                <c:pt idx="73">
                  <c:v>4.1343704609071497E-2</c:v>
                </c:pt>
                <c:pt idx="74">
                  <c:v>-1.6498544038538603E-2</c:v>
                </c:pt>
                <c:pt idx="75">
                  <c:v>-1.2362844918756459E-2</c:v>
                </c:pt>
                <c:pt idx="76">
                  <c:v>2.7275209270985042E-2</c:v>
                </c:pt>
                <c:pt idx="77">
                  <c:v>2.6970460427656103E-2</c:v>
                </c:pt>
                <c:pt idx="78">
                  <c:v>4.5332826751968191E-3</c:v>
                </c:pt>
                <c:pt idx="79">
                  <c:v>-8.2237984377052081E-3</c:v>
                </c:pt>
                <c:pt idx="80">
                  <c:v>1.7489406477304598E-2</c:v>
                </c:pt>
                <c:pt idx="81">
                  <c:v>-8.6239794736453768E-3</c:v>
                </c:pt>
                <c:pt idx="82">
                  <c:v>-8.7718834493659588E-3</c:v>
                </c:pt>
                <c:pt idx="83">
                  <c:v>-1.9993285840748793E-2</c:v>
                </c:pt>
                <c:pt idx="84">
                  <c:v>5.9764119572501544E-2</c:v>
                </c:pt>
                <c:pt idx="85">
                  <c:v>4.0529906590717549E-3</c:v>
                </c:pt>
                <c:pt idx="86">
                  <c:v>1.3517984536053712E-2</c:v>
                </c:pt>
                <c:pt idx="87">
                  <c:v>-9.5056536508898431E-3</c:v>
                </c:pt>
                <c:pt idx="88">
                  <c:v>-1.0105175132150633E-2</c:v>
                </c:pt>
                <c:pt idx="89">
                  <c:v>-3.5112038940588633E-2</c:v>
                </c:pt>
                <c:pt idx="90">
                  <c:v>-9.1451570608716143E-3</c:v>
                </c:pt>
                <c:pt idx="91">
                  <c:v>8.9200294714310863E-3</c:v>
                </c:pt>
                <c:pt idx="92">
                  <c:v>-4.7590679308761197E-3</c:v>
                </c:pt>
                <c:pt idx="93">
                  <c:v>3.6072253470383515E-2</c:v>
                </c:pt>
                <c:pt idx="94">
                  <c:v>7.6924403634216322E-3</c:v>
                </c:pt>
                <c:pt idx="95">
                  <c:v>-3.519442032766603E-2</c:v>
                </c:pt>
                <c:pt idx="96">
                  <c:v>2.1464397727877411E-2</c:v>
                </c:pt>
                <c:pt idx="97">
                  <c:v>4.5459619059712741E-2</c:v>
                </c:pt>
                <c:pt idx="98">
                  <c:v>2.3308553534034982E-2</c:v>
                </c:pt>
                <c:pt idx="99">
                  <c:v>1.3465018882046756E-2</c:v>
                </c:pt>
                <c:pt idx="100">
                  <c:v>1.7310246547380177E-2</c:v>
                </c:pt>
                <c:pt idx="101">
                  <c:v>1.5186672712826994E-2</c:v>
                </c:pt>
                <c:pt idx="102">
                  <c:v>1.6954911872419418E-2</c:v>
                </c:pt>
                <c:pt idx="103">
                  <c:v>-1.7281442435146364E-2</c:v>
                </c:pt>
                <c:pt idx="104">
                  <c:v>-5.8780243361847154E-3</c:v>
                </c:pt>
                <c:pt idx="105">
                  <c:v>1.4283301436023355E-2</c:v>
                </c:pt>
                <c:pt idx="106">
                  <c:v>3.1243017359086625E-3</c:v>
                </c:pt>
                <c:pt idx="107">
                  <c:v>7.5396924718881047E-3</c:v>
                </c:pt>
                <c:pt idx="108">
                  <c:v>-3.6989774113737557E-2</c:v>
                </c:pt>
                <c:pt idx="109">
                  <c:v>-6.3077187506674721E-3</c:v>
                </c:pt>
                <c:pt idx="110">
                  <c:v>-2.0854187754891355E-3</c:v>
                </c:pt>
                <c:pt idx="111">
                  <c:v>5.4647592710998774E-3</c:v>
                </c:pt>
                <c:pt idx="112">
                  <c:v>4.8245998923796696E-4</c:v>
                </c:pt>
                <c:pt idx="113">
                  <c:v>2.4525571836426202E-2</c:v>
                </c:pt>
                <c:pt idx="114">
                  <c:v>7.0971237089511004E-3</c:v>
                </c:pt>
                <c:pt idx="115">
                  <c:v>6.2417722834726503E-3</c:v>
                </c:pt>
                <c:pt idx="116">
                  <c:v>-1.5933085241658426E-2</c:v>
                </c:pt>
                <c:pt idx="117">
                  <c:v>-5.0211583278002118E-3</c:v>
                </c:pt>
                <c:pt idx="118">
                  <c:v>8.8994574750143299E-4</c:v>
                </c:pt>
                <c:pt idx="119">
                  <c:v>-4.5173189623231203E-5</c:v>
                </c:pt>
                <c:pt idx="120">
                  <c:v>8.1830442161544524E-3</c:v>
                </c:pt>
                <c:pt idx="121">
                  <c:v>2.2093043065478848E-2</c:v>
                </c:pt>
                <c:pt idx="122">
                  <c:v>-9.9956219764946851E-3</c:v>
                </c:pt>
                <c:pt idx="123">
                  <c:v>2.2221055565097656E-3</c:v>
                </c:pt>
                <c:pt idx="124">
                  <c:v>3.5381580311664206E-3</c:v>
                </c:pt>
                <c:pt idx="125">
                  <c:v>-1.180829506786292E-2</c:v>
                </c:pt>
                <c:pt idx="126">
                  <c:v>1.4451830260716347E-2</c:v>
                </c:pt>
                <c:pt idx="127">
                  <c:v>-2.2962744097935611E-2</c:v>
                </c:pt>
                <c:pt idx="128">
                  <c:v>-1.1962599658645949E-2</c:v>
                </c:pt>
                <c:pt idx="129">
                  <c:v>-1.1763498787136142E-2</c:v>
                </c:pt>
                <c:pt idx="130">
                  <c:v>2.0401287317608416E-2</c:v>
                </c:pt>
                <c:pt idx="131">
                  <c:v>-3.0420058437303207E-2</c:v>
                </c:pt>
                <c:pt idx="132">
                  <c:v>-1.1956340261606947E-2</c:v>
                </c:pt>
                <c:pt idx="133">
                  <c:v>-1.3161973078617737E-3</c:v>
                </c:pt>
                <c:pt idx="134">
                  <c:v>5.5763253413155502E-2</c:v>
                </c:pt>
                <c:pt idx="135">
                  <c:v>2.4255414457901709E-2</c:v>
                </c:pt>
                <c:pt idx="136">
                  <c:v>3.920487311726519E-3</c:v>
                </c:pt>
                <c:pt idx="137">
                  <c:v>-3.0114793439799174E-2</c:v>
                </c:pt>
                <c:pt idx="138">
                  <c:v>9.7886585039561134E-3</c:v>
                </c:pt>
                <c:pt idx="139">
                  <c:v>-3.6947708882861543E-3</c:v>
                </c:pt>
                <c:pt idx="140">
                  <c:v>-2.0400633180485031E-2</c:v>
                </c:pt>
                <c:pt idx="141">
                  <c:v>-5.8549275265360488E-2</c:v>
                </c:pt>
                <c:pt idx="142">
                  <c:v>2.2833474661431815E-2</c:v>
                </c:pt>
                <c:pt idx="143">
                  <c:v>1.2043334846547538E-2</c:v>
                </c:pt>
                <c:pt idx="144">
                  <c:v>-1.7980855315623323E-2</c:v>
                </c:pt>
                <c:pt idx="145">
                  <c:v>7.154348874971471E-4</c:v>
                </c:pt>
                <c:pt idx="146">
                  <c:v>-1.5700625048540397E-2</c:v>
                </c:pt>
                <c:pt idx="147">
                  <c:v>1.7020928799209467E-2</c:v>
                </c:pt>
                <c:pt idx="148">
                  <c:v>-2.2499939560871238E-2</c:v>
                </c:pt>
                <c:pt idx="149">
                  <c:v>-1.0835996172404929E-2</c:v>
                </c:pt>
                <c:pt idx="150">
                  <c:v>2.9142777946737784E-3</c:v>
                </c:pt>
                <c:pt idx="151">
                  <c:v>-1.1201814038451365E-2</c:v>
                </c:pt>
                <c:pt idx="152">
                  <c:v>4.9472532803332874E-3</c:v>
                </c:pt>
                <c:pt idx="153">
                  <c:v>-8.1710608411151107E-3</c:v>
                </c:pt>
                <c:pt idx="154">
                  <c:v>1.4193342481187568E-3</c:v>
                </c:pt>
                <c:pt idx="155">
                  <c:v>-3.5757560681849037E-3</c:v>
                </c:pt>
                <c:pt idx="156">
                  <c:v>1.3741968203281732E-2</c:v>
                </c:pt>
                <c:pt idx="157">
                  <c:v>1.414796752547718E-2</c:v>
                </c:pt>
                <c:pt idx="158">
                  <c:v>3.30692022757402E-2</c:v>
                </c:pt>
                <c:pt idx="159">
                  <c:v>1.5197926787592604E-2</c:v>
                </c:pt>
                <c:pt idx="160">
                  <c:v>1.8967816509928487E-2</c:v>
                </c:pt>
                <c:pt idx="161">
                  <c:v>7.4080003678972037E-3</c:v>
                </c:pt>
                <c:pt idx="162">
                  <c:v>-4.6704468323806652E-3</c:v>
                </c:pt>
                <c:pt idx="163">
                  <c:v>-7.5502715494043639E-3</c:v>
                </c:pt>
                <c:pt idx="164">
                  <c:v>1.3294532505853857E-2</c:v>
                </c:pt>
                <c:pt idx="165">
                  <c:v>-1.8327661904876162E-2</c:v>
                </c:pt>
                <c:pt idx="166">
                  <c:v>-2.5277865447463958E-2</c:v>
                </c:pt>
                <c:pt idx="167">
                  <c:v>2.4102924941830126E-2</c:v>
                </c:pt>
                <c:pt idx="168">
                  <c:v>-2.5428481835428379E-2</c:v>
                </c:pt>
                <c:pt idx="169">
                  <c:v>1.7056179194226393E-2</c:v>
                </c:pt>
                <c:pt idx="170">
                  <c:v>-1.8809634672435835E-2</c:v>
                </c:pt>
                <c:pt idx="171">
                  <c:v>6.4170346454958871E-3</c:v>
                </c:pt>
                <c:pt idx="172">
                  <c:v>3.3749346217116119E-3</c:v>
                </c:pt>
                <c:pt idx="173">
                  <c:v>2.0597711591960589E-2</c:v>
                </c:pt>
                <c:pt idx="174">
                  <c:v>1.2811602333390286E-2</c:v>
                </c:pt>
                <c:pt idx="175">
                  <c:v>-1.5149588044950259E-2</c:v>
                </c:pt>
                <c:pt idx="176">
                  <c:v>1.8829735767554031E-2</c:v>
                </c:pt>
                <c:pt idx="177">
                  <c:v>-1.4154136371084306E-3</c:v>
                </c:pt>
                <c:pt idx="178">
                  <c:v>-2.5590547346253036E-3</c:v>
                </c:pt>
                <c:pt idx="179">
                  <c:v>3.0466381763282962E-2</c:v>
                </c:pt>
                <c:pt idx="180">
                  <c:v>2.3055056298424376E-2</c:v>
                </c:pt>
                <c:pt idx="181">
                  <c:v>7.5123274072481511E-3</c:v>
                </c:pt>
                <c:pt idx="182">
                  <c:v>-9.8403463928879199E-3</c:v>
                </c:pt>
                <c:pt idx="183">
                  <c:v>3.7290490502759899E-2</c:v>
                </c:pt>
                <c:pt idx="184">
                  <c:v>3.4058488696760217E-3</c:v>
                </c:pt>
                <c:pt idx="185">
                  <c:v>-4.4178434133257923E-3</c:v>
                </c:pt>
                <c:pt idx="186">
                  <c:v>-4.5796815360663046E-2</c:v>
                </c:pt>
                <c:pt idx="187">
                  <c:v>8.779128645530274E-3</c:v>
                </c:pt>
                <c:pt idx="188">
                  <c:v>-4.9525150261904597E-3</c:v>
                </c:pt>
                <c:pt idx="189">
                  <c:v>-2.2648454281810238E-3</c:v>
                </c:pt>
                <c:pt idx="190">
                  <c:v>-1.8802960669833946E-2</c:v>
                </c:pt>
                <c:pt idx="191">
                  <c:v>-2.2183646673383236E-2</c:v>
                </c:pt>
                <c:pt idx="192">
                  <c:v>4.0560141863673023E-2</c:v>
                </c:pt>
                <c:pt idx="193">
                  <c:v>-5.3802052433372508E-2</c:v>
                </c:pt>
                <c:pt idx="194">
                  <c:v>3.9097122039648431E-4</c:v>
                </c:pt>
                <c:pt idx="195">
                  <c:v>-3.2772607337076777E-4</c:v>
                </c:pt>
                <c:pt idx="196">
                  <c:v>-6.9419881199656976E-3</c:v>
                </c:pt>
                <c:pt idx="197">
                  <c:v>-2.3665101546265038E-2</c:v>
                </c:pt>
                <c:pt idx="198">
                  <c:v>2.2161322755580793E-2</c:v>
                </c:pt>
                <c:pt idx="199">
                  <c:v>7.9550486836898471E-3</c:v>
                </c:pt>
                <c:pt idx="200">
                  <c:v>2.3319071517401761E-2</c:v>
                </c:pt>
                <c:pt idx="201">
                  <c:v>1.182458737485465E-2</c:v>
                </c:pt>
                <c:pt idx="202">
                  <c:v>-3.3619496643024896E-2</c:v>
                </c:pt>
                <c:pt idx="203">
                  <c:v>-2.2462138623947502E-5</c:v>
                </c:pt>
                <c:pt idx="204">
                  <c:v>1.7875954344036264E-2</c:v>
                </c:pt>
                <c:pt idx="205">
                  <c:v>-1.1431476202986334E-3</c:v>
                </c:pt>
                <c:pt idx="206">
                  <c:v>1.089246316659836E-2</c:v>
                </c:pt>
                <c:pt idx="207">
                  <c:v>2.182076367528404E-2</c:v>
                </c:pt>
                <c:pt idx="208">
                  <c:v>3.3218909889187277E-2</c:v>
                </c:pt>
                <c:pt idx="209">
                  <c:v>3.2283490328658009E-2</c:v>
                </c:pt>
                <c:pt idx="210">
                  <c:v>-1.9990153498248169E-3</c:v>
                </c:pt>
                <c:pt idx="211">
                  <c:v>2.7744512987209303E-2</c:v>
                </c:pt>
                <c:pt idx="212">
                  <c:v>1.5887937137658539E-3</c:v>
                </c:pt>
                <c:pt idx="213">
                  <c:v>-2.9573201074456164E-2</c:v>
                </c:pt>
                <c:pt idx="214">
                  <c:v>-5.5951937316535015E-4</c:v>
                </c:pt>
                <c:pt idx="215">
                  <c:v>9.3205110191244122E-3</c:v>
                </c:pt>
                <c:pt idx="216">
                  <c:v>-1.3848250149910181E-2</c:v>
                </c:pt>
                <c:pt idx="217">
                  <c:v>1.1742900058984882E-2</c:v>
                </c:pt>
                <c:pt idx="218">
                  <c:v>1.7326477083235311E-2</c:v>
                </c:pt>
                <c:pt idx="219">
                  <c:v>5.3510746459805511E-3</c:v>
                </c:pt>
                <c:pt idx="220">
                  <c:v>4.6855141980294808E-3</c:v>
                </c:pt>
                <c:pt idx="221">
                  <c:v>7.6582103028952717E-3</c:v>
                </c:pt>
                <c:pt idx="222">
                  <c:v>-6.2043147887761788E-3</c:v>
                </c:pt>
                <c:pt idx="223">
                  <c:v>5.9461413268103776E-3</c:v>
                </c:pt>
                <c:pt idx="224">
                  <c:v>1.3164358549935834E-2</c:v>
                </c:pt>
                <c:pt idx="225">
                  <c:v>1.9111000232982221E-3</c:v>
                </c:pt>
                <c:pt idx="226">
                  <c:v>-5.6664191791529258E-3</c:v>
                </c:pt>
                <c:pt idx="227">
                  <c:v>-9.5770388295169841E-3</c:v>
                </c:pt>
                <c:pt idx="228">
                  <c:v>1.8624329761906967E-2</c:v>
                </c:pt>
                <c:pt idx="229">
                  <c:v>-2.5080724646871333E-2</c:v>
                </c:pt>
                <c:pt idx="230">
                  <c:v>-7.6628391289273205E-3</c:v>
                </c:pt>
                <c:pt idx="231">
                  <c:v>1.4337166106473315E-2</c:v>
                </c:pt>
                <c:pt idx="232">
                  <c:v>-1.3816083401743253E-2</c:v>
                </c:pt>
                <c:pt idx="233">
                  <c:v>-2.6354678099990168E-2</c:v>
                </c:pt>
                <c:pt idx="234">
                  <c:v>9.3036751284436142E-3</c:v>
                </c:pt>
                <c:pt idx="235">
                  <c:v>3.0366021230588312E-2</c:v>
                </c:pt>
                <c:pt idx="236">
                  <c:v>-2.6893774627219591E-2</c:v>
                </c:pt>
                <c:pt idx="237">
                  <c:v>1.9570715808508936E-2</c:v>
                </c:pt>
                <c:pt idx="238">
                  <c:v>-3.5256621464736244E-2</c:v>
                </c:pt>
                <c:pt idx="239">
                  <c:v>2.2105380695711822E-2</c:v>
                </c:pt>
                <c:pt idx="240">
                  <c:v>1.4842192791211867E-2</c:v>
                </c:pt>
                <c:pt idx="241">
                  <c:v>5.3093090726411361E-3</c:v>
                </c:pt>
                <c:pt idx="242">
                  <c:v>1.6029043214067857E-2</c:v>
                </c:pt>
                <c:pt idx="243">
                  <c:v>4.0763809646273807E-3</c:v>
                </c:pt>
                <c:pt idx="244">
                  <c:v>2.2500446685900791E-2</c:v>
                </c:pt>
                <c:pt idx="245">
                  <c:v>3.2663731791343388E-2</c:v>
                </c:pt>
                <c:pt idx="246">
                  <c:v>2.2484051931687824E-3</c:v>
                </c:pt>
                <c:pt idx="247">
                  <c:v>-3.7861470831287813E-3</c:v>
                </c:pt>
                <c:pt idx="248">
                  <c:v>-4.8945471120285237E-2</c:v>
                </c:pt>
                <c:pt idx="249">
                  <c:v>1.957352571206938E-2</c:v>
                </c:pt>
                <c:pt idx="250">
                  <c:v>5.7130761203665337E-2</c:v>
                </c:pt>
              </c:numCache>
            </c:numRef>
          </c:val>
          <c:smooth val="0"/>
          <c:extLst>
            <c:ext xmlns:c16="http://schemas.microsoft.com/office/drawing/2014/chart" uri="{C3380CC4-5D6E-409C-BE32-E72D297353CC}">
              <c16:uniqueId val="{00000001-70C6-6B4C-9E62-9AA1224D53E1}"/>
            </c:ext>
          </c:extLst>
        </c:ser>
        <c:dLbls>
          <c:showLegendKey val="0"/>
          <c:showVal val="0"/>
          <c:showCatName val="0"/>
          <c:showSerName val="0"/>
          <c:showPercent val="0"/>
          <c:showBubbleSize val="0"/>
        </c:dLbls>
        <c:marker val="1"/>
        <c:smooth val="0"/>
        <c:axId val="164589952"/>
        <c:axId val="164591488"/>
      </c:lineChart>
      <c:catAx>
        <c:axId val="164589952"/>
        <c:scaling>
          <c:orientation val="minMax"/>
        </c:scaling>
        <c:delete val="0"/>
        <c:axPos val="b"/>
        <c:majorTickMark val="out"/>
        <c:minorTickMark val="none"/>
        <c:tickLblPos val="nextTo"/>
        <c:crossAx val="164591488"/>
        <c:crosses val="autoZero"/>
        <c:auto val="1"/>
        <c:lblAlgn val="ctr"/>
        <c:lblOffset val="100"/>
        <c:noMultiLvlLbl val="0"/>
      </c:catAx>
      <c:valAx>
        <c:axId val="164591488"/>
        <c:scaling>
          <c:orientation val="minMax"/>
        </c:scaling>
        <c:delete val="0"/>
        <c:axPos val="l"/>
        <c:majorGridlines/>
        <c:numFmt formatCode="_-[$$-409]* #,##0.00_ ;_-[$$-409]* \-#,##0.00\ ;_-[$$-409]* &quot;-&quot;??_ ;_-@_ " sourceLinked="1"/>
        <c:majorTickMark val="out"/>
        <c:minorTickMark val="none"/>
        <c:tickLblPos val="nextTo"/>
        <c:crossAx val="164589952"/>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[1]Sheet1!$B$1</c:f>
              <c:strCache>
                <c:ptCount val="1"/>
                <c:pt idx="0">
                  <c:v>TSM Close</c:v>
                </c:pt>
              </c:strCache>
            </c:strRef>
          </c:tx>
          <c:marker>
            <c:symbol val="none"/>
          </c:marker>
          <c:cat>
            <c:strLit>
              <c:ptCount val="1"/>
              <c:pt idx="0">
                <c:v>A2:A253</c:v>
              </c:pt>
            </c:strLit>
          </c:cat>
          <c:val>
            <c:numRef>
              <c:f>[1]Sheet1!$B$2:$B$252</c:f>
              <c:numCache>
                <c:formatCode>General</c:formatCode>
                <c:ptCount val="251"/>
                <c:pt idx="0">
                  <c:v>173.5</c:v>
                </c:pt>
                <c:pt idx="1">
                  <c:v>168.24</c:v>
                </c:pt>
                <c:pt idx="2">
                  <c:v>165.25</c:v>
                </c:pt>
                <c:pt idx="3">
                  <c:v>166</c:v>
                </c:pt>
                <c:pt idx="4">
                  <c:v>168.64</c:v>
                </c:pt>
                <c:pt idx="5">
                  <c:v>170.39</c:v>
                </c:pt>
                <c:pt idx="6">
                  <c:v>157.38</c:v>
                </c:pt>
                <c:pt idx="7">
                  <c:v>146.80000000000001</c:v>
                </c:pt>
                <c:pt idx="8">
                  <c:v>146.16999999999999</c:v>
                </c:pt>
                <c:pt idx="9">
                  <c:v>141.37</c:v>
                </c:pt>
                <c:pt idx="10">
                  <c:v>158.75</c:v>
                </c:pt>
                <c:pt idx="11">
                  <c:v>151.13</c:v>
                </c:pt>
                <c:pt idx="12">
                  <c:v>157.08000000000001</c:v>
                </c:pt>
                <c:pt idx="13">
                  <c:v>155.84</c:v>
                </c:pt>
                <c:pt idx="14">
                  <c:v>157.33000000000001</c:v>
                </c:pt>
                <c:pt idx="15">
                  <c:v>151.66999999999999</c:v>
                </c:pt>
                <c:pt idx="16">
                  <c:v>151.74</c:v>
                </c:pt>
                <c:pt idx="17">
                  <c:v>147.86000000000001</c:v>
                </c:pt>
                <c:pt idx="18">
                  <c:v>151.4</c:v>
                </c:pt>
                <c:pt idx="19">
                  <c:v>157.81</c:v>
                </c:pt>
                <c:pt idx="20">
                  <c:v>164.18</c:v>
                </c:pt>
                <c:pt idx="21">
                  <c:v>165.1</c:v>
                </c:pt>
                <c:pt idx="22">
                  <c:v>163.4</c:v>
                </c:pt>
                <c:pt idx="23">
                  <c:v>164.48</c:v>
                </c:pt>
                <c:pt idx="24">
                  <c:v>166.69</c:v>
                </c:pt>
                <c:pt idx="25">
                  <c:v>172.72</c:v>
                </c:pt>
                <c:pt idx="26">
                  <c:v>179.28</c:v>
                </c:pt>
                <c:pt idx="27">
                  <c:v>176.4</c:v>
                </c:pt>
                <c:pt idx="28">
                  <c:v>172.28</c:v>
                </c:pt>
                <c:pt idx="29">
                  <c:v>174.54</c:v>
                </c:pt>
                <c:pt idx="30">
                  <c:v>175.22</c:v>
                </c:pt>
                <c:pt idx="31">
                  <c:v>176.52</c:v>
                </c:pt>
                <c:pt idx="32">
                  <c:v>186.98</c:v>
                </c:pt>
                <c:pt idx="33">
                  <c:v>193.99</c:v>
                </c:pt>
                <c:pt idx="34">
                  <c:v>194.76</c:v>
                </c:pt>
                <c:pt idx="35">
                  <c:v>194.22</c:v>
                </c:pt>
                <c:pt idx="36">
                  <c:v>194.22</c:v>
                </c:pt>
                <c:pt idx="37">
                  <c:v>193.5</c:v>
                </c:pt>
                <c:pt idx="38">
                  <c:v>193.45</c:v>
                </c:pt>
                <c:pt idx="39">
                  <c:v>191.76</c:v>
                </c:pt>
                <c:pt idx="40">
                  <c:v>196.19</c:v>
                </c:pt>
                <c:pt idx="41">
                  <c:v>191.98</c:v>
                </c:pt>
                <c:pt idx="42">
                  <c:v>197.68</c:v>
                </c:pt>
                <c:pt idx="43">
                  <c:v>196.14</c:v>
                </c:pt>
                <c:pt idx="44">
                  <c:v>197.15</c:v>
                </c:pt>
                <c:pt idx="45">
                  <c:v>193.32</c:v>
                </c:pt>
                <c:pt idx="46">
                  <c:v>194.84</c:v>
                </c:pt>
                <c:pt idx="47">
                  <c:v>197.61</c:v>
                </c:pt>
                <c:pt idx="48">
                  <c:v>202.4</c:v>
                </c:pt>
                <c:pt idx="49">
                  <c:v>203.34</c:v>
                </c:pt>
                <c:pt idx="50">
                  <c:v>205.18</c:v>
                </c:pt>
                <c:pt idx="51">
                  <c:v>207</c:v>
                </c:pt>
                <c:pt idx="52">
                  <c:v>212.46</c:v>
                </c:pt>
                <c:pt idx="53">
                  <c:v>214.1</c:v>
                </c:pt>
                <c:pt idx="54">
                  <c:v>215.43</c:v>
                </c:pt>
                <c:pt idx="55">
                  <c:v>211.1</c:v>
                </c:pt>
                <c:pt idx="56">
                  <c:v>215.68</c:v>
                </c:pt>
                <c:pt idx="57">
                  <c:v>213.9</c:v>
                </c:pt>
                <c:pt idx="58">
                  <c:v>213.5</c:v>
                </c:pt>
                <c:pt idx="59">
                  <c:v>209.51</c:v>
                </c:pt>
                <c:pt idx="60">
                  <c:v>210.32</c:v>
                </c:pt>
                <c:pt idx="61">
                  <c:v>220.09</c:v>
                </c:pt>
                <c:pt idx="62">
                  <c:v>222.74</c:v>
                </c:pt>
                <c:pt idx="63">
                  <c:v>224.01</c:v>
                </c:pt>
                <c:pt idx="64">
                  <c:v>228.57</c:v>
                </c:pt>
                <c:pt idx="65">
                  <c:v>226.49</c:v>
                </c:pt>
                <c:pt idx="66">
                  <c:v>224.68</c:v>
                </c:pt>
                <c:pt idx="67">
                  <c:v>233.6</c:v>
                </c:pt>
                <c:pt idx="68">
                  <c:v>234.8</c:v>
                </c:pt>
                <c:pt idx="69">
                  <c:v>229.17</c:v>
                </c:pt>
                <c:pt idx="70">
                  <c:v>227.86</c:v>
                </c:pt>
                <c:pt idx="71">
                  <c:v>231.84</c:v>
                </c:pt>
                <c:pt idx="72">
                  <c:v>229.76</c:v>
                </c:pt>
                <c:pt idx="73">
                  <c:v>230.4</c:v>
                </c:pt>
                <c:pt idx="74">
                  <c:v>228.67</c:v>
                </c:pt>
                <c:pt idx="75">
                  <c:v>236.95</c:v>
                </c:pt>
                <c:pt idx="76">
                  <c:v>237.56</c:v>
                </c:pt>
                <c:pt idx="77">
                  <c:v>245.6</c:v>
                </c:pt>
                <c:pt idx="78">
                  <c:v>240.4</c:v>
                </c:pt>
                <c:pt idx="79">
                  <c:v>238.85</c:v>
                </c:pt>
                <c:pt idx="80">
                  <c:v>234.6</c:v>
                </c:pt>
                <c:pt idx="81">
                  <c:v>240.33</c:v>
                </c:pt>
                <c:pt idx="82">
                  <c:v>241.6</c:v>
                </c:pt>
                <c:pt idx="83">
                  <c:v>245.6</c:v>
                </c:pt>
                <c:pt idx="84">
                  <c:v>242.75</c:v>
                </c:pt>
                <c:pt idx="85">
                  <c:v>241.33</c:v>
                </c:pt>
                <c:pt idx="86">
                  <c:v>242.91</c:v>
                </c:pt>
                <c:pt idx="87">
                  <c:v>241.62</c:v>
                </c:pt>
                <c:pt idx="88">
                  <c:v>235.21</c:v>
                </c:pt>
                <c:pt idx="89">
                  <c:v>239</c:v>
                </c:pt>
                <c:pt idx="90">
                  <c:v>232.47</c:v>
                </c:pt>
                <c:pt idx="91">
                  <c:v>231.37</c:v>
                </c:pt>
                <c:pt idx="92">
                  <c:v>242.62</c:v>
                </c:pt>
                <c:pt idx="93">
                  <c:v>241.83</c:v>
                </c:pt>
                <c:pt idx="94">
                  <c:v>242.09</c:v>
                </c:pt>
                <c:pt idx="95">
                  <c:v>244.29</c:v>
                </c:pt>
                <c:pt idx="96">
                  <c:v>241.44</c:v>
                </c:pt>
                <c:pt idx="97">
                  <c:v>241</c:v>
                </c:pt>
                <c:pt idx="98">
                  <c:v>238.88</c:v>
                </c:pt>
                <c:pt idx="99">
                  <c:v>241.41</c:v>
                </c:pt>
                <c:pt idx="100">
                  <c:v>232.7</c:v>
                </c:pt>
                <c:pt idx="101">
                  <c:v>228.6</c:v>
                </c:pt>
                <c:pt idx="102">
                  <c:v>227.33</c:v>
                </c:pt>
                <c:pt idx="103">
                  <c:v>232.99</c:v>
                </c:pt>
                <c:pt idx="104">
                  <c:v>235.59</c:v>
                </c:pt>
                <c:pt idx="105">
                  <c:v>238.72</c:v>
                </c:pt>
                <c:pt idx="106">
                  <c:v>239.29</c:v>
                </c:pt>
                <c:pt idx="107">
                  <c:v>238.27</c:v>
                </c:pt>
                <c:pt idx="108">
                  <c:v>230.87</c:v>
                </c:pt>
                <c:pt idx="109">
                  <c:v>228.39</c:v>
                </c:pt>
                <c:pt idx="110">
                  <c:v>231.39</c:v>
                </c:pt>
                <c:pt idx="111">
                  <c:v>235.21</c:v>
                </c:pt>
                <c:pt idx="112">
                  <c:v>243.41</c:v>
                </c:pt>
                <c:pt idx="113">
                  <c:v>247.19</c:v>
                </c:pt>
                <c:pt idx="114">
                  <c:v>250.92</c:v>
                </c:pt>
                <c:pt idx="115">
                  <c:v>260.44</c:v>
                </c:pt>
                <c:pt idx="116">
                  <c:v>258.91000000000003</c:v>
                </c:pt>
                <c:pt idx="117">
                  <c:v>259.33</c:v>
                </c:pt>
                <c:pt idx="118">
                  <c:v>261.38</c:v>
                </c:pt>
                <c:pt idx="119">
                  <c:v>262.06</c:v>
                </c:pt>
                <c:pt idx="120">
                  <c:v>262.79000000000002</c:v>
                </c:pt>
                <c:pt idx="121">
                  <c:v>268.64</c:v>
                </c:pt>
                <c:pt idx="122">
                  <c:v>264.87</c:v>
                </c:pt>
                <c:pt idx="123">
                  <c:v>272.63</c:v>
                </c:pt>
                <c:pt idx="124">
                  <c:v>282.70999999999998</c:v>
                </c:pt>
                <c:pt idx="125">
                  <c:v>280.70999999999998</c:v>
                </c:pt>
                <c:pt idx="126">
                  <c:v>276.66000000000003</c:v>
                </c:pt>
                <c:pt idx="127">
                  <c:v>273.36</c:v>
                </c:pt>
                <c:pt idx="128">
                  <c:v>273.23</c:v>
                </c:pt>
                <c:pt idx="129">
                  <c:v>279.29000000000002</c:v>
                </c:pt>
                <c:pt idx="130">
                  <c:v>288.47000000000003</c:v>
                </c:pt>
                <c:pt idx="131">
                  <c:v>288.11</c:v>
                </c:pt>
                <c:pt idx="132">
                  <c:v>292.19</c:v>
                </c:pt>
                <c:pt idx="133">
                  <c:v>302.39999999999998</c:v>
                </c:pt>
                <c:pt idx="134">
                  <c:v>294.02999999999997</c:v>
                </c:pt>
                <c:pt idx="135">
                  <c:v>304.52</c:v>
                </c:pt>
                <c:pt idx="136">
                  <c:v>299.88</c:v>
                </c:pt>
                <c:pt idx="137">
                  <c:v>280.66000000000003</c:v>
                </c:pt>
                <c:pt idx="138">
                  <c:v>302.89</c:v>
                </c:pt>
                <c:pt idx="139">
                  <c:v>295.94</c:v>
                </c:pt>
                <c:pt idx="140">
                  <c:v>304.70999999999998</c:v>
                </c:pt>
                <c:pt idx="141">
                  <c:v>299.83999999999997</c:v>
                </c:pt>
                <c:pt idx="142">
                  <c:v>295.08</c:v>
                </c:pt>
                <c:pt idx="143">
                  <c:v>297.7</c:v>
                </c:pt>
                <c:pt idx="144">
                  <c:v>294.51</c:v>
                </c:pt>
                <c:pt idx="145">
                  <c:v>288.88</c:v>
                </c:pt>
                <c:pt idx="146">
                  <c:v>290.73</c:v>
                </c:pt>
                <c:pt idx="147">
                  <c:v>294.95999999999998</c:v>
                </c:pt>
                <c:pt idx="148">
                  <c:v>298.25</c:v>
                </c:pt>
                <c:pt idx="149">
                  <c:v>301.52999999999997</c:v>
                </c:pt>
                <c:pt idx="150">
                  <c:v>305.08999999999997</c:v>
                </c:pt>
                <c:pt idx="151">
                  <c:v>303.22000000000003</c:v>
                </c:pt>
                <c:pt idx="152">
                  <c:v>300.43</c:v>
                </c:pt>
                <c:pt idx="153">
                  <c:v>304.86</c:v>
                </c:pt>
                <c:pt idx="154">
                  <c:v>294.05</c:v>
                </c:pt>
                <c:pt idx="155">
                  <c:v>293.64</c:v>
                </c:pt>
                <c:pt idx="156">
                  <c:v>289.24</c:v>
                </c:pt>
                <c:pt idx="157">
                  <c:v>286.5</c:v>
                </c:pt>
                <c:pt idx="158">
                  <c:v>295.27</c:v>
                </c:pt>
                <c:pt idx="159">
                  <c:v>291.17</c:v>
                </c:pt>
                <c:pt idx="160">
                  <c:v>290.62</c:v>
                </c:pt>
                <c:pt idx="161">
                  <c:v>282.2</c:v>
                </c:pt>
                <c:pt idx="162">
                  <c:v>284.82</c:v>
                </c:pt>
                <c:pt idx="163">
                  <c:v>282.01</c:v>
                </c:pt>
                <c:pt idx="164">
                  <c:v>277.91000000000003</c:v>
                </c:pt>
                <c:pt idx="165">
                  <c:v>282.37</c:v>
                </c:pt>
                <c:pt idx="166">
                  <c:v>277.5</c:v>
                </c:pt>
                <c:pt idx="167">
                  <c:v>275.06</c:v>
                </c:pt>
                <c:pt idx="168">
                  <c:v>284.64</c:v>
                </c:pt>
                <c:pt idx="169">
                  <c:v>284.68</c:v>
                </c:pt>
                <c:pt idx="170">
                  <c:v>289.95999999999998</c:v>
                </c:pt>
                <c:pt idx="171">
                  <c:v>291.51</c:v>
                </c:pt>
                <c:pt idx="172">
                  <c:v>287.68</c:v>
                </c:pt>
                <c:pt idx="173">
                  <c:v>292.08999999999997</c:v>
                </c:pt>
                <c:pt idx="174">
                  <c:v>295.45</c:v>
                </c:pt>
                <c:pt idx="175">
                  <c:v>292.93</c:v>
                </c:pt>
                <c:pt idx="176">
                  <c:v>294.72000000000003</c:v>
                </c:pt>
                <c:pt idx="177">
                  <c:v>301.87</c:v>
                </c:pt>
                <c:pt idx="178">
                  <c:v>303.41000000000003</c:v>
                </c:pt>
                <c:pt idx="179">
                  <c:v>310.14</c:v>
                </c:pt>
                <c:pt idx="180">
                  <c:v>304.85000000000002</c:v>
                </c:pt>
                <c:pt idx="181">
                  <c:v>292.04000000000002</c:v>
                </c:pt>
                <c:pt idx="182">
                  <c:v>287.74</c:v>
                </c:pt>
                <c:pt idx="183">
                  <c:v>286.87</c:v>
                </c:pt>
                <c:pt idx="184">
                  <c:v>276.95999999999998</c:v>
                </c:pt>
                <c:pt idx="185">
                  <c:v>284.68</c:v>
                </c:pt>
                <c:pt idx="186">
                  <c:v>288.95</c:v>
                </c:pt>
                <c:pt idx="187">
                  <c:v>293.27999999999997</c:v>
                </c:pt>
                <c:pt idx="188">
                  <c:v>296.95</c:v>
                </c:pt>
                <c:pt idx="189">
                  <c:v>298.8</c:v>
                </c:pt>
                <c:pt idx="190">
                  <c:v>302.83999999999997</c:v>
                </c:pt>
                <c:pt idx="191">
                  <c:v>300.92</c:v>
                </c:pt>
                <c:pt idx="192">
                  <c:v>299.58</c:v>
                </c:pt>
                <c:pt idx="193">
                  <c:v>303.89</c:v>
                </c:pt>
                <c:pt idx="194">
                  <c:v>319.61</c:v>
                </c:pt>
                <c:pt idx="195">
                  <c:v>322.25</c:v>
                </c:pt>
                <c:pt idx="196">
                  <c:v>327.43</c:v>
                </c:pt>
                <c:pt idx="197">
                  <c:v>318.68</c:v>
                </c:pt>
                <c:pt idx="198">
                  <c:v>318.01</c:v>
                </c:pt>
                <c:pt idx="199">
                  <c:v>323.63</c:v>
                </c:pt>
                <c:pt idx="200">
                  <c:v>331.77</c:v>
                </c:pt>
                <c:pt idx="201">
                  <c:v>331.21</c:v>
                </c:pt>
                <c:pt idx="202">
                  <c:v>327.11</c:v>
                </c:pt>
                <c:pt idx="203">
                  <c:v>341.64</c:v>
                </c:pt>
                <c:pt idx="204">
                  <c:v>342.4</c:v>
                </c:pt>
                <c:pt idx="205">
                  <c:v>327.16000000000003</c:v>
                </c:pt>
                <c:pt idx="206">
                  <c:v>326.12</c:v>
                </c:pt>
                <c:pt idx="207">
                  <c:v>327.37</c:v>
                </c:pt>
                <c:pt idx="208">
                  <c:v>334.87</c:v>
                </c:pt>
                <c:pt idx="209">
                  <c:v>332.71</c:v>
                </c:pt>
                <c:pt idx="210">
                  <c:v>338.34</c:v>
                </c:pt>
                <c:pt idx="211">
                  <c:v>342.3</c:v>
                </c:pt>
                <c:pt idx="212">
                  <c:v>339.55</c:v>
                </c:pt>
                <c:pt idx="213">
                  <c:v>330.56</c:v>
                </c:pt>
                <c:pt idx="214">
                  <c:v>341.36</c:v>
                </c:pt>
                <c:pt idx="215">
                  <c:v>335.75</c:v>
                </c:pt>
                <c:pt idx="216">
                  <c:v>325.74</c:v>
                </c:pt>
                <c:pt idx="217">
                  <c:v>330.73</c:v>
                </c:pt>
                <c:pt idx="218">
                  <c:v>348.85</c:v>
                </c:pt>
                <c:pt idx="219">
                  <c:v>355.41</c:v>
                </c:pt>
                <c:pt idx="220">
                  <c:v>361.91</c:v>
                </c:pt>
                <c:pt idx="221">
                  <c:v>374.09</c:v>
                </c:pt>
                <c:pt idx="222">
                  <c:v>368.1</c:v>
                </c:pt>
                <c:pt idx="223">
                  <c:v>366.36</c:v>
                </c:pt>
                <c:pt idx="224">
                  <c:v>364.2</c:v>
                </c:pt>
                <c:pt idx="225">
                  <c:v>362.26</c:v>
                </c:pt>
                <c:pt idx="226">
                  <c:v>360.39</c:v>
                </c:pt>
                <c:pt idx="227">
                  <c:v>370.54</c:v>
                </c:pt>
                <c:pt idx="228">
                  <c:v>370.04</c:v>
                </c:pt>
                <c:pt idx="229">
                  <c:v>385.75</c:v>
                </c:pt>
                <c:pt idx="230">
                  <c:v>387.73</c:v>
                </c:pt>
                <c:pt idx="231">
                  <c:v>376.81</c:v>
                </c:pt>
                <c:pt idx="232">
                  <c:v>374.58</c:v>
                </c:pt>
                <c:pt idx="233">
                  <c:v>369.11</c:v>
                </c:pt>
                <c:pt idx="234">
                  <c:v>353.13</c:v>
                </c:pt>
                <c:pt idx="235">
                  <c:v>357.44</c:v>
                </c:pt>
                <c:pt idx="236">
                  <c:v>353.86</c:v>
                </c:pt>
                <c:pt idx="237">
                  <c:v>338.89</c:v>
                </c:pt>
                <c:pt idx="238">
                  <c:v>348.7</c:v>
                </c:pt>
                <c:pt idx="239">
                  <c:v>347.09</c:v>
                </c:pt>
                <c:pt idx="240">
                  <c:v>354.56</c:v>
                </c:pt>
                <c:pt idx="241">
                  <c:v>336.71</c:v>
                </c:pt>
                <c:pt idx="242">
                  <c:v>338.31</c:v>
                </c:pt>
                <c:pt idx="243">
                  <c:v>340.23</c:v>
                </c:pt>
                <c:pt idx="244">
                  <c:v>345.98</c:v>
                </c:pt>
                <c:pt idx="245">
                  <c:v>339.57</c:v>
                </c:pt>
                <c:pt idx="246">
                  <c:v>338.79</c:v>
                </c:pt>
                <c:pt idx="247">
                  <c:v>329.24</c:v>
                </c:pt>
                <c:pt idx="248">
                  <c:v>338.45</c:v>
                </c:pt>
                <c:pt idx="249">
                  <c:v>343.25</c:v>
                </c:pt>
                <c:pt idx="250">
                  <c:v>347.75</c:v>
                </c:pt>
              </c:numCache>
            </c:numRef>
          </c:val>
          <c:smooth val="0"/>
          <c:extLst>
            <c:ext xmlns:c16="http://schemas.microsoft.com/office/drawing/2014/chart" uri="{C3380CC4-5D6E-409C-BE32-E72D297353CC}">
              <c16:uniqueId val="{00000000-9386-2142-8C6C-DC53C6BCCDE3}"/>
            </c:ext>
          </c:extLst>
        </c:ser>
        <c:ser>
          <c:idx val="2"/>
          <c:order val="1"/>
          <c:tx>
            <c:strRef>
              <c:f>[1]Sheet1!$C$1</c:f>
              <c:strCache>
                <c:ptCount val="1"/>
                <c:pt idx="0">
                  <c:v>F Close</c:v>
                </c:pt>
              </c:strCache>
            </c:strRef>
          </c:tx>
          <c:marker>
            <c:symbol val="none"/>
          </c:marker>
          <c:cat>
            <c:strLit>
              <c:ptCount val="1"/>
              <c:pt idx="0">
                <c:v>A2:A253</c:v>
              </c:pt>
            </c:strLit>
          </c:cat>
          <c:val>
            <c:numRef>
              <c:f>[1]Sheet1!$C$2:$C$252</c:f>
              <c:numCache>
                <c:formatCode>General</c:formatCode>
                <c:ptCount val="251"/>
                <c:pt idx="0">
                  <c:v>10.3</c:v>
                </c:pt>
                <c:pt idx="1">
                  <c:v>9.9</c:v>
                </c:pt>
                <c:pt idx="2">
                  <c:v>9.7200000000000006</c:v>
                </c:pt>
                <c:pt idx="3">
                  <c:v>10.029999999999999</c:v>
                </c:pt>
                <c:pt idx="4">
                  <c:v>9.94</c:v>
                </c:pt>
                <c:pt idx="5">
                  <c:v>10.15</c:v>
                </c:pt>
                <c:pt idx="6">
                  <c:v>9.5399999999999991</c:v>
                </c:pt>
                <c:pt idx="7">
                  <c:v>9.58</c:v>
                </c:pt>
                <c:pt idx="8">
                  <c:v>9.24</c:v>
                </c:pt>
                <c:pt idx="9">
                  <c:v>8.69</c:v>
                </c:pt>
                <c:pt idx="10">
                  <c:v>9.5</c:v>
                </c:pt>
                <c:pt idx="11">
                  <c:v>9.14</c:v>
                </c:pt>
                <c:pt idx="12">
                  <c:v>9.33</c:v>
                </c:pt>
                <c:pt idx="13">
                  <c:v>9.7100000000000009</c:v>
                </c:pt>
                <c:pt idx="14">
                  <c:v>9.4499999999999993</c:v>
                </c:pt>
                <c:pt idx="15">
                  <c:v>9.4</c:v>
                </c:pt>
                <c:pt idx="16">
                  <c:v>9.6300000000000008</c:v>
                </c:pt>
                <c:pt idx="17">
                  <c:v>9.4700000000000006</c:v>
                </c:pt>
                <c:pt idx="18">
                  <c:v>9.65</c:v>
                </c:pt>
                <c:pt idx="19">
                  <c:v>9.7799999999999994</c:v>
                </c:pt>
                <c:pt idx="20">
                  <c:v>10.06</c:v>
                </c:pt>
                <c:pt idx="21">
                  <c:v>10.039999999999999</c:v>
                </c:pt>
                <c:pt idx="22">
                  <c:v>10.02</c:v>
                </c:pt>
                <c:pt idx="23">
                  <c:v>10.15</c:v>
                </c:pt>
                <c:pt idx="24">
                  <c:v>10.01</c:v>
                </c:pt>
                <c:pt idx="25">
                  <c:v>10.18</c:v>
                </c:pt>
                <c:pt idx="26">
                  <c:v>10.28</c:v>
                </c:pt>
                <c:pt idx="27">
                  <c:v>10.17</c:v>
                </c:pt>
                <c:pt idx="28">
                  <c:v>10.44</c:v>
                </c:pt>
                <c:pt idx="29">
                  <c:v>10.28</c:v>
                </c:pt>
                <c:pt idx="30">
                  <c:v>10.28</c:v>
                </c:pt>
                <c:pt idx="31">
                  <c:v>10.43</c:v>
                </c:pt>
                <c:pt idx="32">
                  <c:v>10.55</c:v>
                </c:pt>
                <c:pt idx="33">
                  <c:v>10.6</c:v>
                </c:pt>
                <c:pt idx="34">
                  <c:v>10.65</c:v>
                </c:pt>
                <c:pt idx="35">
                  <c:v>10.75</c:v>
                </c:pt>
                <c:pt idx="36">
                  <c:v>10.8</c:v>
                </c:pt>
                <c:pt idx="37">
                  <c:v>10.75</c:v>
                </c:pt>
                <c:pt idx="38">
                  <c:v>10.72</c:v>
                </c:pt>
                <c:pt idx="39">
                  <c:v>10.48</c:v>
                </c:pt>
                <c:pt idx="40">
                  <c:v>10.44</c:v>
                </c:pt>
                <c:pt idx="41">
                  <c:v>10.36</c:v>
                </c:pt>
                <c:pt idx="42">
                  <c:v>10.31</c:v>
                </c:pt>
                <c:pt idx="43">
                  <c:v>10.17</c:v>
                </c:pt>
                <c:pt idx="44">
                  <c:v>10.220000000000001</c:v>
                </c:pt>
                <c:pt idx="45">
                  <c:v>10.38</c:v>
                </c:pt>
                <c:pt idx="46">
                  <c:v>9.98</c:v>
                </c:pt>
                <c:pt idx="47">
                  <c:v>10.19</c:v>
                </c:pt>
                <c:pt idx="48">
                  <c:v>10.24</c:v>
                </c:pt>
                <c:pt idx="49">
                  <c:v>10.1</c:v>
                </c:pt>
                <c:pt idx="50">
                  <c:v>10.26</c:v>
                </c:pt>
                <c:pt idx="51">
                  <c:v>10.34</c:v>
                </c:pt>
                <c:pt idx="52">
                  <c:v>10.6</c:v>
                </c:pt>
                <c:pt idx="53">
                  <c:v>10.66</c:v>
                </c:pt>
                <c:pt idx="54">
                  <c:v>10.53</c:v>
                </c:pt>
                <c:pt idx="55">
                  <c:v>10.43</c:v>
                </c:pt>
                <c:pt idx="56">
                  <c:v>10.62</c:v>
                </c:pt>
                <c:pt idx="57">
                  <c:v>10.42</c:v>
                </c:pt>
                <c:pt idx="58">
                  <c:v>10.43</c:v>
                </c:pt>
                <c:pt idx="59">
                  <c:v>10.59</c:v>
                </c:pt>
                <c:pt idx="60">
                  <c:v>10.75</c:v>
                </c:pt>
                <c:pt idx="61">
                  <c:v>10.73</c:v>
                </c:pt>
                <c:pt idx="62">
                  <c:v>10.48</c:v>
                </c:pt>
                <c:pt idx="63">
                  <c:v>10.63</c:v>
                </c:pt>
                <c:pt idx="64">
                  <c:v>10.8</c:v>
                </c:pt>
                <c:pt idx="65">
                  <c:v>10.85</c:v>
                </c:pt>
                <c:pt idx="66">
                  <c:v>11.35</c:v>
                </c:pt>
                <c:pt idx="67">
                  <c:v>11.77</c:v>
                </c:pt>
                <c:pt idx="68">
                  <c:v>11.81</c:v>
                </c:pt>
                <c:pt idx="69">
                  <c:v>11.59</c:v>
                </c:pt>
                <c:pt idx="70">
                  <c:v>11.68</c:v>
                </c:pt>
                <c:pt idx="71">
                  <c:v>11.83</c:v>
                </c:pt>
                <c:pt idx="72">
                  <c:v>11.91</c:v>
                </c:pt>
                <c:pt idx="73">
                  <c:v>11.78</c:v>
                </c:pt>
                <c:pt idx="74">
                  <c:v>11.88</c:v>
                </c:pt>
                <c:pt idx="75">
                  <c:v>11.57</c:v>
                </c:pt>
                <c:pt idx="76">
                  <c:v>11.24</c:v>
                </c:pt>
                <c:pt idx="77">
                  <c:v>11.15</c:v>
                </c:pt>
                <c:pt idx="78">
                  <c:v>11.16</c:v>
                </c:pt>
                <c:pt idx="79">
                  <c:v>11.31</c:v>
                </c:pt>
                <c:pt idx="80">
                  <c:v>11.19</c:v>
                </c:pt>
                <c:pt idx="81">
                  <c:v>11.38</c:v>
                </c:pt>
                <c:pt idx="82">
                  <c:v>11.26</c:v>
                </c:pt>
                <c:pt idx="83">
                  <c:v>11.47</c:v>
                </c:pt>
                <c:pt idx="84">
                  <c:v>11.28</c:v>
                </c:pt>
                <c:pt idx="85">
                  <c:v>11.08</c:v>
                </c:pt>
                <c:pt idx="86">
                  <c:v>10.87</c:v>
                </c:pt>
                <c:pt idx="87">
                  <c:v>11.07</c:v>
                </c:pt>
                <c:pt idx="88">
                  <c:v>10.82</c:v>
                </c:pt>
                <c:pt idx="89">
                  <c:v>10.95</c:v>
                </c:pt>
                <c:pt idx="90">
                  <c:v>11.06</c:v>
                </c:pt>
                <c:pt idx="91">
                  <c:v>11.21</c:v>
                </c:pt>
                <c:pt idx="92">
                  <c:v>11.28</c:v>
                </c:pt>
                <c:pt idx="93">
                  <c:v>11.32</c:v>
                </c:pt>
                <c:pt idx="94">
                  <c:v>11.14</c:v>
                </c:pt>
                <c:pt idx="95">
                  <c:v>11.25</c:v>
                </c:pt>
                <c:pt idx="96">
                  <c:v>11.44</c:v>
                </c:pt>
                <c:pt idx="97">
                  <c:v>11.44</c:v>
                </c:pt>
                <c:pt idx="98">
                  <c:v>11.44</c:v>
                </c:pt>
                <c:pt idx="99">
                  <c:v>11.46</c:v>
                </c:pt>
                <c:pt idx="100">
                  <c:v>11.58</c:v>
                </c:pt>
                <c:pt idx="101">
                  <c:v>11.49</c:v>
                </c:pt>
                <c:pt idx="102">
                  <c:v>11.33</c:v>
                </c:pt>
                <c:pt idx="103">
                  <c:v>11.74</c:v>
                </c:pt>
                <c:pt idx="104">
                  <c:v>11.82</c:v>
                </c:pt>
                <c:pt idx="105">
                  <c:v>11.84</c:v>
                </c:pt>
                <c:pt idx="106">
                  <c:v>11.91</c:v>
                </c:pt>
                <c:pt idx="107">
                  <c:v>11.71</c:v>
                </c:pt>
                <c:pt idx="108">
                  <c:v>11.77</c:v>
                </c:pt>
                <c:pt idx="109">
                  <c:v>11.72</c:v>
                </c:pt>
                <c:pt idx="110">
                  <c:v>11.62</c:v>
                </c:pt>
                <c:pt idx="111">
                  <c:v>11.68</c:v>
                </c:pt>
                <c:pt idx="112">
                  <c:v>11.74</c:v>
                </c:pt>
                <c:pt idx="113">
                  <c:v>11.69</c:v>
                </c:pt>
                <c:pt idx="114">
                  <c:v>11.49</c:v>
                </c:pt>
                <c:pt idx="115">
                  <c:v>11.42</c:v>
                </c:pt>
                <c:pt idx="116">
                  <c:v>11.76</c:v>
                </c:pt>
                <c:pt idx="117">
                  <c:v>11.68</c:v>
                </c:pt>
                <c:pt idx="118">
                  <c:v>11.68</c:v>
                </c:pt>
                <c:pt idx="119">
                  <c:v>11.61</c:v>
                </c:pt>
                <c:pt idx="120">
                  <c:v>11.66</c:v>
                </c:pt>
                <c:pt idx="121">
                  <c:v>11.74</c:v>
                </c:pt>
                <c:pt idx="122">
                  <c:v>11.62</c:v>
                </c:pt>
                <c:pt idx="123">
                  <c:v>11.66</c:v>
                </c:pt>
                <c:pt idx="124">
                  <c:v>11.73</c:v>
                </c:pt>
                <c:pt idx="125">
                  <c:v>11.63</c:v>
                </c:pt>
                <c:pt idx="126">
                  <c:v>11.62</c:v>
                </c:pt>
                <c:pt idx="127">
                  <c:v>12.01</c:v>
                </c:pt>
                <c:pt idx="128">
                  <c:v>12.09</c:v>
                </c:pt>
                <c:pt idx="129">
                  <c:v>11.96</c:v>
                </c:pt>
                <c:pt idx="130">
                  <c:v>12.27</c:v>
                </c:pt>
                <c:pt idx="131">
                  <c:v>12.22</c:v>
                </c:pt>
                <c:pt idx="132">
                  <c:v>12.67</c:v>
                </c:pt>
                <c:pt idx="133">
                  <c:v>12.7</c:v>
                </c:pt>
                <c:pt idx="134">
                  <c:v>11.92</c:v>
                </c:pt>
                <c:pt idx="135">
                  <c:v>11.74</c:v>
                </c:pt>
                <c:pt idx="136">
                  <c:v>11.5</c:v>
                </c:pt>
                <c:pt idx="137">
                  <c:v>11.41</c:v>
                </c:pt>
                <c:pt idx="138">
                  <c:v>11.54</c:v>
                </c:pt>
                <c:pt idx="139">
                  <c:v>11.65</c:v>
                </c:pt>
                <c:pt idx="140">
                  <c:v>11.76</c:v>
                </c:pt>
                <c:pt idx="141">
                  <c:v>11.74</c:v>
                </c:pt>
                <c:pt idx="142">
                  <c:v>11.92</c:v>
                </c:pt>
                <c:pt idx="143">
                  <c:v>11.99</c:v>
                </c:pt>
                <c:pt idx="144">
                  <c:v>12.56</c:v>
                </c:pt>
                <c:pt idx="145">
                  <c:v>12.43</c:v>
                </c:pt>
                <c:pt idx="146">
                  <c:v>12.34</c:v>
                </c:pt>
                <c:pt idx="147">
                  <c:v>13.84</c:v>
                </c:pt>
                <c:pt idx="148">
                  <c:v>13.26</c:v>
                </c:pt>
                <c:pt idx="149">
                  <c:v>13.13</c:v>
                </c:pt>
                <c:pt idx="150">
                  <c:v>13.24</c:v>
                </c:pt>
                <c:pt idx="151">
                  <c:v>13.06</c:v>
                </c:pt>
                <c:pt idx="152">
                  <c:v>13.13</c:v>
                </c:pt>
                <c:pt idx="153">
                  <c:v>13.01</c:v>
                </c:pt>
                <c:pt idx="154">
                  <c:v>12.79</c:v>
                </c:pt>
                <c:pt idx="155">
                  <c:v>13.11</c:v>
                </c:pt>
                <c:pt idx="156">
                  <c:v>13.12</c:v>
                </c:pt>
                <c:pt idx="157">
                  <c:v>13.21</c:v>
                </c:pt>
                <c:pt idx="158">
                  <c:v>13.16</c:v>
                </c:pt>
                <c:pt idx="159">
                  <c:v>13.3</c:v>
                </c:pt>
                <c:pt idx="160">
                  <c:v>13.45</c:v>
                </c:pt>
                <c:pt idx="161">
                  <c:v>13.28</c:v>
                </c:pt>
                <c:pt idx="162">
                  <c:v>13.19</c:v>
                </c:pt>
                <c:pt idx="163">
                  <c:v>12.88</c:v>
                </c:pt>
                <c:pt idx="164">
                  <c:v>13.02</c:v>
                </c:pt>
                <c:pt idx="165">
                  <c:v>12.9</c:v>
                </c:pt>
                <c:pt idx="166">
                  <c:v>12.41</c:v>
                </c:pt>
                <c:pt idx="167">
                  <c:v>12.83</c:v>
                </c:pt>
                <c:pt idx="168">
                  <c:v>12.96</c:v>
                </c:pt>
                <c:pt idx="169">
                  <c:v>13.17</c:v>
                </c:pt>
                <c:pt idx="170">
                  <c:v>13.19</c:v>
                </c:pt>
                <c:pt idx="171">
                  <c:v>13.28</c:v>
                </c:pt>
                <c:pt idx="172">
                  <c:v>13.16</c:v>
                </c:pt>
                <c:pt idx="173">
                  <c:v>12.96</c:v>
                </c:pt>
                <c:pt idx="174">
                  <c:v>13.09</c:v>
                </c:pt>
                <c:pt idx="175">
                  <c:v>13.14</c:v>
                </c:pt>
                <c:pt idx="176">
                  <c:v>13.03</c:v>
                </c:pt>
                <c:pt idx="177">
                  <c:v>13.14</c:v>
                </c:pt>
                <c:pt idx="178">
                  <c:v>13.08</c:v>
                </c:pt>
                <c:pt idx="179">
                  <c:v>13.41</c:v>
                </c:pt>
                <c:pt idx="180">
                  <c:v>13.63</c:v>
                </c:pt>
                <c:pt idx="181">
                  <c:v>13.76</c:v>
                </c:pt>
                <c:pt idx="182">
                  <c:v>13.65</c:v>
                </c:pt>
                <c:pt idx="183">
                  <c:v>13.67</c:v>
                </c:pt>
                <c:pt idx="184">
                  <c:v>13.31</c:v>
                </c:pt>
                <c:pt idx="185">
                  <c:v>13.32</c:v>
                </c:pt>
                <c:pt idx="186">
                  <c:v>13.47</c:v>
                </c:pt>
                <c:pt idx="187">
                  <c:v>13.46</c:v>
                </c:pt>
                <c:pt idx="188">
                  <c:v>13.29</c:v>
                </c:pt>
                <c:pt idx="189">
                  <c:v>13.36</c:v>
                </c:pt>
                <c:pt idx="190">
                  <c:v>13.31</c:v>
                </c:pt>
                <c:pt idx="191">
                  <c:v>13.28</c:v>
                </c:pt>
                <c:pt idx="192">
                  <c:v>13.23</c:v>
                </c:pt>
                <c:pt idx="193">
                  <c:v>13.12</c:v>
                </c:pt>
                <c:pt idx="194">
                  <c:v>13.34</c:v>
                </c:pt>
                <c:pt idx="195">
                  <c:v>13.47</c:v>
                </c:pt>
                <c:pt idx="196">
                  <c:v>13.8</c:v>
                </c:pt>
                <c:pt idx="197">
                  <c:v>13.74</c:v>
                </c:pt>
                <c:pt idx="198">
                  <c:v>14.4</c:v>
                </c:pt>
                <c:pt idx="199">
                  <c:v>14.2</c:v>
                </c:pt>
                <c:pt idx="200">
                  <c:v>14.03</c:v>
                </c:pt>
                <c:pt idx="201">
                  <c:v>13.98</c:v>
                </c:pt>
                <c:pt idx="202">
                  <c:v>13.84</c:v>
                </c:pt>
                <c:pt idx="203">
                  <c:v>13.81</c:v>
                </c:pt>
                <c:pt idx="204">
                  <c:v>13.6</c:v>
                </c:pt>
                <c:pt idx="205">
                  <c:v>13.28</c:v>
                </c:pt>
                <c:pt idx="206">
                  <c:v>13.77</c:v>
                </c:pt>
                <c:pt idx="207">
                  <c:v>13.71</c:v>
                </c:pt>
                <c:pt idx="208">
                  <c:v>13.56</c:v>
                </c:pt>
                <c:pt idx="209">
                  <c:v>13.44</c:v>
                </c:pt>
                <c:pt idx="210">
                  <c:v>13.93</c:v>
                </c:pt>
                <c:pt idx="211">
                  <c:v>13.82</c:v>
                </c:pt>
                <c:pt idx="212">
                  <c:v>14</c:v>
                </c:pt>
                <c:pt idx="213">
                  <c:v>13.88</c:v>
                </c:pt>
                <c:pt idx="214">
                  <c:v>13.81</c:v>
                </c:pt>
                <c:pt idx="215">
                  <c:v>13.73</c:v>
                </c:pt>
                <c:pt idx="216">
                  <c:v>13.82</c:v>
                </c:pt>
                <c:pt idx="217">
                  <c:v>13.72</c:v>
                </c:pt>
                <c:pt idx="218">
                  <c:v>13.8</c:v>
                </c:pt>
                <c:pt idx="219">
                  <c:v>13.59</c:v>
                </c:pt>
                <c:pt idx="220">
                  <c:v>13.57</c:v>
                </c:pt>
                <c:pt idx="221">
                  <c:v>13.85</c:v>
                </c:pt>
                <c:pt idx="222">
                  <c:v>14</c:v>
                </c:pt>
                <c:pt idx="223">
                  <c:v>14.12</c:v>
                </c:pt>
                <c:pt idx="224">
                  <c:v>14.13</c:v>
                </c:pt>
                <c:pt idx="225">
                  <c:v>13.85</c:v>
                </c:pt>
                <c:pt idx="226">
                  <c:v>13.78</c:v>
                </c:pt>
                <c:pt idx="227">
                  <c:v>14.01</c:v>
                </c:pt>
                <c:pt idx="228">
                  <c:v>13.64</c:v>
                </c:pt>
                <c:pt idx="229">
                  <c:v>14.2</c:v>
                </c:pt>
                <c:pt idx="230">
                  <c:v>14.43</c:v>
                </c:pt>
                <c:pt idx="231">
                  <c:v>14.41</c:v>
                </c:pt>
                <c:pt idx="232">
                  <c:v>14.09</c:v>
                </c:pt>
                <c:pt idx="233">
                  <c:v>13.39</c:v>
                </c:pt>
                <c:pt idx="234">
                  <c:v>12.7</c:v>
                </c:pt>
                <c:pt idx="235">
                  <c:v>12.81</c:v>
                </c:pt>
                <c:pt idx="236">
                  <c:v>12.34</c:v>
                </c:pt>
                <c:pt idx="237">
                  <c:v>12.15</c:v>
                </c:pt>
                <c:pt idx="238">
                  <c:v>12.19</c:v>
                </c:pt>
                <c:pt idx="239">
                  <c:v>12.24</c:v>
                </c:pt>
                <c:pt idx="240">
                  <c:v>12.11</c:v>
                </c:pt>
                <c:pt idx="241">
                  <c:v>12.04</c:v>
                </c:pt>
                <c:pt idx="242">
                  <c:v>11.67</c:v>
                </c:pt>
                <c:pt idx="243">
                  <c:v>11.71</c:v>
                </c:pt>
                <c:pt idx="244">
                  <c:v>11.94</c:v>
                </c:pt>
                <c:pt idx="245">
                  <c:v>11.79</c:v>
                </c:pt>
                <c:pt idx="246">
                  <c:v>11.64</c:v>
                </c:pt>
                <c:pt idx="247">
                  <c:v>11.52</c:v>
                </c:pt>
                <c:pt idx="248">
                  <c:v>11.76</c:v>
                </c:pt>
                <c:pt idx="249">
                  <c:v>11.84</c:v>
                </c:pt>
                <c:pt idx="250">
                  <c:v>11.67</c:v>
                </c:pt>
              </c:numCache>
            </c:numRef>
          </c:val>
          <c:smooth val="0"/>
          <c:extLst>
            <c:ext xmlns:c16="http://schemas.microsoft.com/office/drawing/2014/chart" uri="{C3380CC4-5D6E-409C-BE32-E72D297353CC}">
              <c16:uniqueId val="{00000001-9386-2142-8C6C-DC53C6BCCDE3}"/>
            </c:ext>
          </c:extLst>
        </c:ser>
        <c:ser>
          <c:idx val="3"/>
          <c:order val="2"/>
          <c:tx>
            <c:strRef>
              <c:f>[1]Sheet1!$D$1</c:f>
              <c:strCache>
                <c:ptCount val="1"/>
                <c:pt idx="0">
                  <c:v>AAPL Close</c:v>
                </c:pt>
              </c:strCache>
            </c:strRef>
          </c:tx>
          <c:marker>
            <c:symbol val="none"/>
          </c:marker>
          <c:cat>
            <c:strLit>
              <c:ptCount val="1"/>
              <c:pt idx="0">
                <c:v>A2:A253</c:v>
              </c:pt>
            </c:strLit>
          </c:cat>
          <c:val>
            <c:numRef>
              <c:f>[1]Sheet1!$D$2:$D$252</c:f>
              <c:numCache>
                <c:formatCode>General</c:formatCode>
                <c:ptCount val="251"/>
                <c:pt idx="0">
                  <c:v>221.53</c:v>
                </c:pt>
                <c:pt idx="1">
                  <c:v>223.85</c:v>
                </c:pt>
                <c:pt idx="2">
                  <c:v>217.9</c:v>
                </c:pt>
                <c:pt idx="3">
                  <c:v>222.13</c:v>
                </c:pt>
                <c:pt idx="4">
                  <c:v>223.19</c:v>
                </c:pt>
                <c:pt idx="5">
                  <c:v>223.89</c:v>
                </c:pt>
                <c:pt idx="6">
                  <c:v>203.19</c:v>
                </c:pt>
                <c:pt idx="7">
                  <c:v>188.38</c:v>
                </c:pt>
                <c:pt idx="8">
                  <c:v>181.46</c:v>
                </c:pt>
                <c:pt idx="9">
                  <c:v>172.42</c:v>
                </c:pt>
                <c:pt idx="10">
                  <c:v>198.85</c:v>
                </c:pt>
                <c:pt idx="11">
                  <c:v>190.42</c:v>
                </c:pt>
                <c:pt idx="12">
                  <c:v>198.15</c:v>
                </c:pt>
                <c:pt idx="13">
                  <c:v>202.52</c:v>
                </c:pt>
                <c:pt idx="14">
                  <c:v>202.14</c:v>
                </c:pt>
                <c:pt idx="15">
                  <c:v>194.27</c:v>
                </c:pt>
                <c:pt idx="16">
                  <c:v>196.98</c:v>
                </c:pt>
                <c:pt idx="17">
                  <c:v>193.16</c:v>
                </c:pt>
                <c:pt idx="18">
                  <c:v>199.74</c:v>
                </c:pt>
                <c:pt idx="19">
                  <c:v>204.6</c:v>
                </c:pt>
                <c:pt idx="20">
                  <c:v>208.37</c:v>
                </c:pt>
                <c:pt idx="21">
                  <c:v>209.28</c:v>
                </c:pt>
                <c:pt idx="22">
                  <c:v>210.14</c:v>
                </c:pt>
                <c:pt idx="23">
                  <c:v>211.21</c:v>
                </c:pt>
                <c:pt idx="24">
                  <c:v>212.5</c:v>
                </c:pt>
                <c:pt idx="25">
                  <c:v>213.32</c:v>
                </c:pt>
                <c:pt idx="26">
                  <c:v>205.35</c:v>
                </c:pt>
                <c:pt idx="27">
                  <c:v>198.89</c:v>
                </c:pt>
                <c:pt idx="28">
                  <c:v>198.51</c:v>
                </c:pt>
                <c:pt idx="29">
                  <c:v>196.25</c:v>
                </c:pt>
                <c:pt idx="30">
                  <c:v>197.49</c:v>
                </c:pt>
                <c:pt idx="31">
                  <c:v>198.53</c:v>
                </c:pt>
                <c:pt idx="32">
                  <c:v>210.79</c:v>
                </c:pt>
                <c:pt idx="33">
                  <c:v>212.93</c:v>
                </c:pt>
                <c:pt idx="34">
                  <c:v>212.33</c:v>
                </c:pt>
                <c:pt idx="35">
                  <c:v>211.45</c:v>
                </c:pt>
                <c:pt idx="36">
                  <c:v>211.26</c:v>
                </c:pt>
                <c:pt idx="37">
                  <c:v>208.78</c:v>
                </c:pt>
                <c:pt idx="38">
                  <c:v>206.86</c:v>
                </c:pt>
                <c:pt idx="39">
                  <c:v>202.09</c:v>
                </c:pt>
                <c:pt idx="40">
                  <c:v>201.36</c:v>
                </c:pt>
                <c:pt idx="41">
                  <c:v>195.27</c:v>
                </c:pt>
                <c:pt idx="42">
                  <c:v>200.21</c:v>
                </c:pt>
                <c:pt idx="43">
                  <c:v>200.42</c:v>
                </c:pt>
                <c:pt idx="44">
                  <c:v>199.95</c:v>
                </c:pt>
                <c:pt idx="45">
                  <c:v>200.85</c:v>
                </c:pt>
                <c:pt idx="46">
                  <c:v>201.7</c:v>
                </c:pt>
                <c:pt idx="47">
                  <c:v>203.27</c:v>
                </c:pt>
                <c:pt idx="48">
                  <c:v>202.82</c:v>
                </c:pt>
                <c:pt idx="49">
                  <c:v>200.63</c:v>
                </c:pt>
                <c:pt idx="50">
                  <c:v>203.92</c:v>
                </c:pt>
                <c:pt idx="51">
                  <c:v>201.45</c:v>
                </c:pt>
                <c:pt idx="52">
                  <c:v>202.67</c:v>
                </c:pt>
                <c:pt idx="53">
                  <c:v>198.78</c:v>
                </c:pt>
                <c:pt idx="54">
                  <c:v>199.2</c:v>
                </c:pt>
                <c:pt idx="55">
                  <c:v>196.45</c:v>
                </c:pt>
                <c:pt idx="56">
                  <c:v>198.42</c:v>
                </c:pt>
                <c:pt idx="57">
                  <c:v>195.64</c:v>
                </c:pt>
                <c:pt idx="58">
                  <c:v>196.58</c:v>
                </c:pt>
                <c:pt idx="59">
                  <c:v>201</c:v>
                </c:pt>
                <c:pt idx="60">
                  <c:v>201.5</c:v>
                </c:pt>
                <c:pt idx="61">
                  <c:v>200.3</c:v>
                </c:pt>
                <c:pt idx="62">
                  <c:v>201.56</c:v>
                </c:pt>
                <c:pt idx="63">
                  <c:v>201</c:v>
                </c:pt>
                <c:pt idx="64">
                  <c:v>201.08</c:v>
                </c:pt>
                <c:pt idx="65">
                  <c:v>205.17</c:v>
                </c:pt>
                <c:pt idx="66">
                  <c:v>207.82</c:v>
                </c:pt>
                <c:pt idx="67">
                  <c:v>212.44</c:v>
                </c:pt>
                <c:pt idx="68">
                  <c:v>213.55</c:v>
                </c:pt>
                <c:pt idx="69">
                  <c:v>209.95</c:v>
                </c:pt>
                <c:pt idx="70">
                  <c:v>210.01</c:v>
                </c:pt>
                <c:pt idx="71">
                  <c:v>211.14</c:v>
                </c:pt>
                <c:pt idx="72">
                  <c:v>212.41</c:v>
                </c:pt>
                <c:pt idx="73">
                  <c:v>211.16</c:v>
                </c:pt>
                <c:pt idx="74">
                  <c:v>208.62</c:v>
                </c:pt>
                <c:pt idx="75">
                  <c:v>209.11</c:v>
                </c:pt>
                <c:pt idx="76">
                  <c:v>210.16</c:v>
                </c:pt>
                <c:pt idx="77">
                  <c:v>210.02</c:v>
                </c:pt>
                <c:pt idx="78">
                  <c:v>211.18</c:v>
                </c:pt>
                <c:pt idx="79">
                  <c:v>212.48</c:v>
                </c:pt>
                <c:pt idx="80">
                  <c:v>214.4</c:v>
                </c:pt>
                <c:pt idx="81">
                  <c:v>214.15</c:v>
                </c:pt>
                <c:pt idx="82">
                  <c:v>213.76</c:v>
                </c:pt>
                <c:pt idx="83">
                  <c:v>213.88</c:v>
                </c:pt>
                <c:pt idx="84">
                  <c:v>214.05</c:v>
                </c:pt>
                <c:pt idx="85">
                  <c:v>211.27</c:v>
                </c:pt>
                <c:pt idx="86">
                  <c:v>209.05</c:v>
                </c:pt>
                <c:pt idx="87">
                  <c:v>207.57</c:v>
                </c:pt>
                <c:pt idx="88">
                  <c:v>202.38</c:v>
                </c:pt>
                <c:pt idx="89">
                  <c:v>203.35</c:v>
                </c:pt>
                <c:pt idx="90">
                  <c:v>202.92</c:v>
                </c:pt>
                <c:pt idx="91">
                  <c:v>213.25</c:v>
                </c:pt>
                <c:pt idx="92">
                  <c:v>220.03</c:v>
                </c:pt>
                <c:pt idx="93">
                  <c:v>229.35</c:v>
                </c:pt>
                <c:pt idx="94">
                  <c:v>227.18</c:v>
                </c:pt>
                <c:pt idx="95">
                  <c:v>229.65</c:v>
                </c:pt>
                <c:pt idx="96">
                  <c:v>233.33</c:v>
                </c:pt>
                <c:pt idx="97">
                  <c:v>232.78</c:v>
                </c:pt>
                <c:pt idx="98">
                  <c:v>231.59</c:v>
                </c:pt>
                <c:pt idx="99">
                  <c:v>230.89</c:v>
                </c:pt>
                <c:pt idx="100">
                  <c:v>230.56</c:v>
                </c:pt>
                <c:pt idx="101">
                  <c:v>226.01</c:v>
                </c:pt>
                <c:pt idx="102">
                  <c:v>224.9</c:v>
                </c:pt>
                <c:pt idx="103">
                  <c:v>227.76</c:v>
                </c:pt>
                <c:pt idx="104">
                  <c:v>227.16</c:v>
                </c:pt>
                <c:pt idx="105">
                  <c:v>229.31</c:v>
                </c:pt>
                <c:pt idx="106">
                  <c:v>230.49</c:v>
                </c:pt>
                <c:pt idx="107">
                  <c:v>232.56</c:v>
                </c:pt>
                <c:pt idx="108">
                  <c:v>232.14</c:v>
                </c:pt>
                <c:pt idx="109">
                  <c:v>229.72</c:v>
                </c:pt>
                <c:pt idx="110">
                  <c:v>238.47</c:v>
                </c:pt>
                <c:pt idx="111">
                  <c:v>239.78</c:v>
                </c:pt>
                <c:pt idx="112">
                  <c:v>239.69</c:v>
                </c:pt>
                <c:pt idx="113">
                  <c:v>237.88</c:v>
                </c:pt>
                <c:pt idx="114">
                  <c:v>234.35</c:v>
                </c:pt>
                <c:pt idx="115">
                  <c:v>226.79</c:v>
                </c:pt>
                <c:pt idx="116">
                  <c:v>230.03</c:v>
                </c:pt>
                <c:pt idx="117">
                  <c:v>234.07</c:v>
                </c:pt>
                <c:pt idx="118">
                  <c:v>236.7</c:v>
                </c:pt>
                <c:pt idx="119">
                  <c:v>238.15</c:v>
                </c:pt>
                <c:pt idx="120">
                  <c:v>238.99</c:v>
                </c:pt>
                <c:pt idx="121">
                  <c:v>237.88</c:v>
                </c:pt>
                <c:pt idx="122">
                  <c:v>245.5</c:v>
                </c:pt>
                <c:pt idx="123">
                  <c:v>256.08</c:v>
                </c:pt>
                <c:pt idx="124">
                  <c:v>254.43</c:v>
                </c:pt>
                <c:pt idx="125">
                  <c:v>252.31</c:v>
                </c:pt>
                <c:pt idx="126">
                  <c:v>256.87</c:v>
                </c:pt>
                <c:pt idx="127">
                  <c:v>255.46</c:v>
                </c:pt>
                <c:pt idx="128">
                  <c:v>254.43</c:v>
                </c:pt>
                <c:pt idx="129">
                  <c:v>254.63</c:v>
                </c:pt>
                <c:pt idx="130">
                  <c:v>255.45</c:v>
                </c:pt>
                <c:pt idx="131">
                  <c:v>257.13</c:v>
                </c:pt>
                <c:pt idx="132">
                  <c:v>258.02</c:v>
                </c:pt>
                <c:pt idx="133">
                  <c:v>256.69</c:v>
                </c:pt>
                <c:pt idx="134">
                  <c:v>256.48</c:v>
                </c:pt>
                <c:pt idx="135">
                  <c:v>258.06</c:v>
                </c:pt>
                <c:pt idx="136">
                  <c:v>254.04</c:v>
                </c:pt>
                <c:pt idx="137">
                  <c:v>245.27</c:v>
                </c:pt>
                <c:pt idx="138">
                  <c:v>247.66</c:v>
                </c:pt>
                <c:pt idx="139">
                  <c:v>247.77</c:v>
                </c:pt>
                <c:pt idx="140">
                  <c:v>249.34</c:v>
                </c:pt>
                <c:pt idx="141">
                  <c:v>247.45</c:v>
                </c:pt>
                <c:pt idx="142">
                  <c:v>252.29</c:v>
                </c:pt>
                <c:pt idx="143">
                  <c:v>262.24</c:v>
                </c:pt>
                <c:pt idx="144">
                  <c:v>262.77</c:v>
                </c:pt>
                <c:pt idx="145">
                  <c:v>258.45</c:v>
                </c:pt>
                <c:pt idx="146">
                  <c:v>259.58</c:v>
                </c:pt>
                <c:pt idx="147">
                  <c:v>262.82</c:v>
                </c:pt>
                <c:pt idx="148">
                  <c:v>268.81</c:v>
                </c:pt>
                <c:pt idx="149">
                  <c:v>269</c:v>
                </c:pt>
                <c:pt idx="150">
                  <c:v>269.7</c:v>
                </c:pt>
                <c:pt idx="151">
                  <c:v>271.39999999999998</c:v>
                </c:pt>
                <c:pt idx="152">
                  <c:v>270.37</c:v>
                </c:pt>
                <c:pt idx="153">
                  <c:v>269.05</c:v>
                </c:pt>
                <c:pt idx="154">
                  <c:v>270.04000000000002</c:v>
                </c:pt>
                <c:pt idx="155">
                  <c:v>270.14</c:v>
                </c:pt>
                <c:pt idx="156">
                  <c:v>269.77</c:v>
                </c:pt>
                <c:pt idx="157">
                  <c:v>268.47000000000003</c:v>
                </c:pt>
                <c:pt idx="158">
                  <c:v>269.43</c:v>
                </c:pt>
                <c:pt idx="159">
                  <c:v>275.25</c:v>
                </c:pt>
                <c:pt idx="160">
                  <c:v>273.47000000000003</c:v>
                </c:pt>
                <c:pt idx="161">
                  <c:v>272.95</c:v>
                </c:pt>
                <c:pt idx="162">
                  <c:v>272.41000000000003</c:v>
                </c:pt>
                <c:pt idx="163">
                  <c:v>267.45999999999998</c:v>
                </c:pt>
                <c:pt idx="164">
                  <c:v>267.44</c:v>
                </c:pt>
                <c:pt idx="165">
                  <c:v>268.56</c:v>
                </c:pt>
                <c:pt idx="166">
                  <c:v>266.25</c:v>
                </c:pt>
                <c:pt idx="167">
                  <c:v>271.49</c:v>
                </c:pt>
                <c:pt idx="168">
                  <c:v>275.92</c:v>
                </c:pt>
                <c:pt idx="169">
                  <c:v>276.97000000000003</c:v>
                </c:pt>
                <c:pt idx="170">
                  <c:v>277.55</c:v>
                </c:pt>
                <c:pt idx="171">
                  <c:v>278.85000000000002</c:v>
                </c:pt>
                <c:pt idx="172">
                  <c:v>283.10000000000002</c:v>
                </c:pt>
                <c:pt idx="173">
                  <c:v>286.19</c:v>
                </c:pt>
                <c:pt idx="174">
                  <c:v>284.14999999999998</c:v>
                </c:pt>
                <c:pt idx="175">
                  <c:v>280.7</c:v>
                </c:pt>
                <c:pt idx="176">
                  <c:v>278.77999999999997</c:v>
                </c:pt>
                <c:pt idx="177">
                  <c:v>277.89</c:v>
                </c:pt>
                <c:pt idx="178">
                  <c:v>277.18</c:v>
                </c:pt>
                <c:pt idx="179">
                  <c:v>278.77999999999997</c:v>
                </c:pt>
                <c:pt idx="180">
                  <c:v>278.02999999999997</c:v>
                </c:pt>
                <c:pt idx="181">
                  <c:v>278.27999999999997</c:v>
                </c:pt>
                <c:pt idx="182">
                  <c:v>274.11</c:v>
                </c:pt>
                <c:pt idx="183">
                  <c:v>274.61</c:v>
                </c:pt>
                <c:pt idx="184">
                  <c:v>271.83999999999997</c:v>
                </c:pt>
                <c:pt idx="185">
                  <c:v>272.19</c:v>
                </c:pt>
                <c:pt idx="186">
                  <c:v>273.67</c:v>
                </c:pt>
                <c:pt idx="187">
                  <c:v>270.97000000000003</c:v>
                </c:pt>
                <c:pt idx="188">
                  <c:v>272.36</c:v>
                </c:pt>
                <c:pt idx="189">
                  <c:v>273.81</c:v>
                </c:pt>
                <c:pt idx="190">
                  <c:v>273.39999999999998</c:v>
                </c:pt>
                <c:pt idx="191">
                  <c:v>273.76</c:v>
                </c:pt>
                <c:pt idx="192">
                  <c:v>273.08</c:v>
                </c:pt>
                <c:pt idx="193">
                  <c:v>271.86</c:v>
                </c:pt>
                <c:pt idx="194">
                  <c:v>271.01</c:v>
                </c:pt>
                <c:pt idx="195">
                  <c:v>267.26</c:v>
                </c:pt>
                <c:pt idx="196">
                  <c:v>262.36</c:v>
                </c:pt>
                <c:pt idx="197">
                  <c:v>260.33</c:v>
                </c:pt>
                <c:pt idx="198">
                  <c:v>259.04000000000002</c:v>
                </c:pt>
                <c:pt idx="199">
                  <c:v>259.37</c:v>
                </c:pt>
                <c:pt idx="200">
                  <c:v>260.25</c:v>
                </c:pt>
                <c:pt idx="201">
                  <c:v>261.05</c:v>
                </c:pt>
                <c:pt idx="202">
                  <c:v>259.95999999999998</c:v>
                </c:pt>
                <c:pt idx="203">
                  <c:v>258.20999999999998</c:v>
                </c:pt>
                <c:pt idx="204">
                  <c:v>255.53</c:v>
                </c:pt>
                <c:pt idx="205">
                  <c:v>246.7</c:v>
                </c:pt>
                <c:pt idx="206">
                  <c:v>247.65</c:v>
                </c:pt>
                <c:pt idx="207">
                  <c:v>248.35</c:v>
                </c:pt>
                <c:pt idx="208">
                  <c:v>248.04</c:v>
                </c:pt>
                <c:pt idx="209">
                  <c:v>255.41</c:v>
                </c:pt>
                <c:pt idx="210">
                  <c:v>258.27</c:v>
                </c:pt>
                <c:pt idx="211">
                  <c:v>256.44</c:v>
                </c:pt>
                <c:pt idx="212">
                  <c:v>258.27999999999997</c:v>
                </c:pt>
                <c:pt idx="213">
                  <c:v>259.48</c:v>
                </c:pt>
                <c:pt idx="214">
                  <c:v>270.01</c:v>
                </c:pt>
                <c:pt idx="215">
                  <c:v>269.48</c:v>
                </c:pt>
                <c:pt idx="216">
                  <c:v>276.49</c:v>
                </c:pt>
                <c:pt idx="217">
                  <c:v>275.91000000000003</c:v>
                </c:pt>
                <c:pt idx="218">
                  <c:v>278.12</c:v>
                </c:pt>
                <c:pt idx="219">
                  <c:v>274.62</c:v>
                </c:pt>
                <c:pt idx="220">
                  <c:v>273.68</c:v>
                </c:pt>
                <c:pt idx="221">
                  <c:v>275.5</c:v>
                </c:pt>
                <c:pt idx="222">
                  <c:v>261.73</c:v>
                </c:pt>
                <c:pt idx="223">
                  <c:v>255.78</c:v>
                </c:pt>
                <c:pt idx="224">
                  <c:v>263.88</c:v>
                </c:pt>
                <c:pt idx="225">
                  <c:v>264.35000000000002</c:v>
                </c:pt>
                <c:pt idx="226">
                  <c:v>260.58</c:v>
                </c:pt>
                <c:pt idx="227">
                  <c:v>264.58</c:v>
                </c:pt>
                <c:pt idx="228">
                  <c:v>266.18</c:v>
                </c:pt>
                <c:pt idx="229">
                  <c:v>272.14</c:v>
                </c:pt>
                <c:pt idx="230">
                  <c:v>274.23</c:v>
                </c:pt>
                <c:pt idx="231">
                  <c:v>272.95</c:v>
                </c:pt>
                <c:pt idx="232">
                  <c:v>264.18</c:v>
                </c:pt>
                <c:pt idx="233">
                  <c:v>264.72000000000003</c:v>
                </c:pt>
                <c:pt idx="234">
                  <c:v>263.75</c:v>
                </c:pt>
                <c:pt idx="235">
                  <c:v>262.52</c:v>
                </c:pt>
                <c:pt idx="236">
                  <c:v>260.29000000000002</c:v>
                </c:pt>
                <c:pt idx="237">
                  <c:v>257.45999999999998</c:v>
                </c:pt>
                <c:pt idx="238">
                  <c:v>259.88</c:v>
                </c:pt>
                <c:pt idx="239">
                  <c:v>260.83</c:v>
                </c:pt>
                <c:pt idx="240">
                  <c:v>260.81</c:v>
                </c:pt>
                <c:pt idx="241">
                  <c:v>255.76</c:v>
                </c:pt>
                <c:pt idx="242">
                  <c:v>250.12</c:v>
                </c:pt>
                <c:pt idx="243">
                  <c:v>252.82</c:v>
                </c:pt>
                <c:pt idx="244">
                  <c:v>254.23</c:v>
                </c:pt>
                <c:pt idx="245">
                  <c:v>249.94</c:v>
                </c:pt>
                <c:pt idx="246">
                  <c:v>248.96</c:v>
                </c:pt>
                <c:pt idx="247">
                  <c:v>247.99</c:v>
                </c:pt>
                <c:pt idx="248">
                  <c:v>251.49</c:v>
                </c:pt>
                <c:pt idx="249">
                  <c:v>251.64</c:v>
                </c:pt>
                <c:pt idx="250">
                  <c:v>252.62</c:v>
                </c:pt>
              </c:numCache>
            </c:numRef>
          </c:val>
          <c:smooth val="0"/>
          <c:extLst>
            <c:ext xmlns:c16="http://schemas.microsoft.com/office/drawing/2014/chart" uri="{C3380CC4-5D6E-409C-BE32-E72D297353CC}">
              <c16:uniqueId val="{00000002-9386-2142-8C6C-DC53C6BCCDE3}"/>
            </c:ext>
          </c:extLst>
        </c:ser>
        <c:dLbls>
          <c:showLegendKey val="0"/>
          <c:showVal val="0"/>
          <c:showCatName val="0"/>
          <c:showSerName val="0"/>
          <c:showPercent val="0"/>
          <c:showBubbleSize val="0"/>
        </c:dLbls>
        <c:smooth val="0"/>
        <c:axId val="176051712"/>
        <c:axId val="176053248"/>
      </c:lineChart>
      <c:catAx>
        <c:axId val="176051712"/>
        <c:scaling>
          <c:orientation val="minMax"/>
        </c:scaling>
        <c:delete val="0"/>
        <c:axPos val="b"/>
        <c:numFmt formatCode="General" sourceLinked="0"/>
        <c:majorTickMark val="out"/>
        <c:minorTickMark val="none"/>
        <c:tickLblPos val="nextTo"/>
        <c:crossAx val="176053248"/>
        <c:crosses val="autoZero"/>
        <c:auto val="1"/>
        <c:lblAlgn val="ctr"/>
        <c:lblOffset val="100"/>
        <c:noMultiLvlLbl val="0"/>
      </c:catAx>
      <c:valAx>
        <c:axId val="176053248"/>
        <c:scaling>
          <c:orientation val="minMax"/>
        </c:scaling>
        <c:delete val="0"/>
        <c:axPos val="l"/>
        <c:majorGridlines/>
        <c:numFmt formatCode="General" sourceLinked="1"/>
        <c:majorTickMark val="out"/>
        <c:minorTickMark val="none"/>
        <c:tickLblPos val="nextTo"/>
        <c:crossAx val="176051712"/>
        <c:crosses val="autoZero"/>
        <c:crossBetween val="between"/>
      </c:valAx>
    </c:plotArea>
    <c:legend>
      <c:legendPos val="r"/>
      <c:overlay val="0"/>
    </c:legend>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6351706036745"/>
          <c:y val="5.1400554097404488E-2"/>
          <c:w val="0.85535870516185453"/>
          <c:h val="0.78570392242636333"/>
        </c:manualLayout>
      </c:layout>
      <c:lineChart>
        <c:grouping val="standard"/>
        <c:varyColors val="0"/>
        <c:ser>
          <c:idx val="0"/>
          <c:order val="0"/>
          <c:tx>
            <c:strRef>
              <c:f>[1]Sheet1!$E$1</c:f>
              <c:strCache>
                <c:ptCount val="1"/>
                <c:pt idx="0">
                  <c:v>TSM Return</c:v>
                </c:pt>
              </c:strCache>
            </c:strRef>
          </c:tx>
          <c:marker>
            <c:symbol val="none"/>
          </c:marker>
          <c:cat>
            <c:strLit>
              <c:ptCount val="1"/>
              <c:pt idx="0">
                <c:v>A2:A253</c:v>
              </c:pt>
            </c:strLit>
          </c:cat>
          <c:val>
            <c:numRef>
              <c:f>[1]Sheet1!$E$2:$E$252</c:f>
              <c:numCache>
                <c:formatCode>General</c:formatCode>
                <c:ptCount val="251"/>
                <c:pt idx="1">
                  <c:v>-3.0786067992469517E-2</c:v>
                </c:pt>
                <c:pt idx="2">
                  <c:v>-1.7932052662648686E-2</c:v>
                </c:pt>
                <c:pt idx="3">
                  <c:v>4.5283096247476099E-3</c:v>
                </c:pt>
                <c:pt idx="4">
                  <c:v>1.5778476996454231E-2</c:v>
                </c:pt>
                <c:pt idx="5">
                  <c:v>1.0323661874150411E-2</c:v>
                </c:pt>
                <c:pt idx="6">
                  <c:v>-7.9426664120310478E-2</c:v>
                </c:pt>
                <c:pt idx="7">
                  <c:v>-6.9592146926421974E-2</c:v>
                </c:pt>
                <c:pt idx="8">
                  <c:v>-4.3007882792140146E-3</c:v>
                </c:pt>
                <c:pt idx="9">
                  <c:v>-3.3389761022260045E-2</c:v>
                </c:pt>
                <c:pt idx="10">
                  <c:v>0.11595007089385978</c:v>
                </c:pt>
                <c:pt idx="11">
                  <c:v>-4.9190244190771781E-2</c:v>
                </c:pt>
                <c:pt idx="12">
                  <c:v>3.8614836127779731E-2</c:v>
                </c:pt>
                <c:pt idx="13">
                  <c:v>-7.9253898155839542E-3</c:v>
                </c:pt>
                <c:pt idx="14">
                  <c:v>9.515670358107086E-3</c:v>
                </c:pt>
                <c:pt idx="15">
                  <c:v>-3.6638402189026538E-2</c:v>
                </c:pt>
                <c:pt idx="16">
                  <c:v>4.6142184662340029E-4</c:v>
                </c:pt>
                <c:pt idx="17">
                  <c:v>-2.5902649780974805E-2</c:v>
                </c:pt>
                <c:pt idx="18">
                  <c:v>2.3659460874394259E-2</c:v>
                </c:pt>
                <c:pt idx="19">
                  <c:v>4.1466436756692905E-2</c:v>
                </c:pt>
                <c:pt idx="20">
                  <c:v>3.9571609160078867E-2</c:v>
                </c:pt>
                <c:pt idx="21">
                  <c:v>5.5879640059622177E-3</c:v>
                </c:pt>
                <c:pt idx="22">
                  <c:v>-1.035016850017972E-2</c:v>
                </c:pt>
                <c:pt idx="23">
                  <c:v>6.5877998408977057E-3</c:v>
                </c:pt>
                <c:pt idx="24">
                  <c:v>1.3346817688196342E-2</c:v>
                </c:pt>
                <c:pt idx="25">
                  <c:v>3.5535986251555393E-2</c:v>
                </c:pt>
                <c:pt idx="26">
                  <c:v>3.7277043286119617E-2</c:v>
                </c:pt>
                <c:pt idx="27">
                  <c:v>-1.6194685919980606E-2</c:v>
                </c:pt>
                <c:pt idx="28">
                  <c:v>-2.3633083386781092E-2</c:v>
                </c:pt>
                <c:pt idx="29">
                  <c:v>1.3032881549255334E-2</c:v>
                </c:pt>
                <c:pt idx="30">
                  <c:v>3.8883855030525999E-3</c:v>
                </c:pt>
                <c:pt idx="31">
                  <c:v>7.3918571631288186E-3</c:v>
                </c:pt>
                <c:pt idx="32">
                  <c:v>5.7567474861822981E-2</c:v>
                </c:pt>
                <c:pt idx="33">
                  <c:v>3.6804952079845084E-2</c:v>
                </c:pt>
                <c:pt idx="34">
                  <c:v>3.9614199714854111E-3</c:v>
                </c:pt>
                <c:pt idx="35">
                  <c:v>-2.7764941482920952E-3</c:v>
                </c:pt>
                <c:pt idx="36">
                  <c:v>0</c:v>
                </c:pt>
                <c:pt idx="37">
                  <c:v>-3.7140246963714815E-3</c:v>
                </c:pt>
                <c:pt idx="38">
                  <c:v>-2.5843132331455714E-4</c:v>
                </c:pt>
                <c:pt idx="39">
                  <c:v>-8.7744910203930784E-3</c:v>
                </c:pt>
                <c:pt idx="40">
                  <c:v>2.2838987306608521E-2</c:v>
                </c:pt>
                <c:pt idx="41">
                  <c:v>-2.1692377497346631E-2</c:v>
                </c:pt>
                <c:pt idx="42">
                  <c:v>2.9258361744963893E-2</c:v>
                </c:pt>
                <c:pt idx="43">
                  <c:v>-7.8208717161804935E-3</c:v>
                </c:pt>
                <c:pt idx="44">
                  <c:v>5.1361703594619635E-3</c:v>
                </c:pt>
                <c:pt idx="45">
                  <c:v>-1.9618013346752925E-2</c:v>
                </c:pt>
                <c:pt idx="46">
                  <c:v>7.8318619614586183E-3</c:v>
                </c:pt>
                <c:pt idx="47">
                  <c:v>1.4116682382369381E-2</c:v>
                </c:pt>
                <c:pt idx="48">
                  <c:v>2.3950546092599133E-2</c:v>
                </c:pt>
                <c:pt idx="49">
                  <c:v>4.6335174337044076E-3</c:v>
                </c:pt>
                <c:pt idx="50">
                  <c:v>9.0081878125517333E-3</c:v>
                </c:pt>
                <c:pt idx="51">
                  <c:v>8.8311506058023573E-3</c:v>
                </c:pt>
                <c:pt idx="52">
                  <c:v>2.6034942086498303E-2</c:v>
                </c:pt>
                <c:pt idx="53">
                  <c:v>7.6894602437697027E-3</c:v>
                </c:pt>
                <c:pt idx="54">
                  <c:v>6.1928351946988281E-3</c:v>
                </c:pt>
                <c:pt idx="55">
                  <c:v>-2.0304075936061042E-2</c:v>
                </c:pt>
                <c:pt idx="56">
                  <c:v>2.1463872869667316E-2</c:v>
                </c:pt>
                <c:pt idx="57">
                  <c:v>-8.2872116355822804E-3</c:v>
                </c:pt>
                <c:pt idx="58">
                  <c:v>-1.8717834196807367E-3</c:v>
                </c:pt>
                <c:pt idx="59">
                  <c:v>-1.8865361748758455E-2</c:v>
                </c:pt>
                <c:pt idx="60">
                  <c:v>3.858709501704824E-3</c:v>
                </c:pt>
                <c:pt idx="61">
                  <c:v>4.5406373184954864E-2</c:v>
                </c:pt>
                <c:pt idx="62">
                  <c:v>1.1968618358373427E-2</c:v>
                </c:pt>
                <c:pt idx="63">
                  <c:v>5.6855217507659163E-3</c:v>
                </c:pt>
                <c:pt idx="64">
                  <c:v>2.0151815437307912E-2</c:v>
                </c:pt>
                <c:pt idx="65">
                  <c:v>-9.1417153149592964E-3</c:v>
                </c:pt>
                <c:pt idx="66">
                  <c:v>-8.0236261738366767E-3</c:v>
                </c:pt>
                <c:pt idx="67">
                  <c:v>3.8933083289839979E-2</c:v>
                </c:pt>
                <c:pt idx="68">
                  <c:v>5.1238369998694664E-3</c:v>
                </c:pt>
                <c:pt idx="69">
                  <c:v>-2.427000173256352E-2</c:v>
                </c:pt>
                <c:pt idx="70">
                  <c:v>-5.7326809514081974E-3</c:v>
                </c:pt>
                <c:pt idx="71">
                  <c:v>1.7316073302402493E-2</c:v>
                </c:pt>
                <c:pt idx="72">
                  <c:v>-9.0121927125129918E-3</c:v>
                </c:pt>
                <c:pt idx="73">
                  <c:v>2.7816429618767705E-3</c:v>
                </c:pt>
                <c:pt idx="74">
                  <c:v>-7.5370126107327283E-3</c:v>
                </c:pt>
                <c:pt idx="75">
                  <c:v>3.5569232202593719E-2</c:v>
                </c:pt>
                <c:pt idx="76">
                  <c:v>2.571074734062183E-3</c:v>
                </c:pt>
                <c:pt idx="77">
                  <c:v>3.3283973125327972E-2</c:v>
                </c:pt>
                <c:pt idx="78">
                  <c:v>-2.1399993611934894E-2</c:v>
                </c:pt>
                <c:pt idx="79">
                  <c:v>-6.4684628250816561E-3</c:v>
                </c:pt>
                <c:pt idx="80">
                  <c:v>-1.795380361659582E-2</c:v>
                </c:pt>
                <c:pt idx="81">
                  <c:v>2.4131042675760089E-2</c:v>
                </c:pt>
                <c:pt idx="82">
                  <c:v>5.2704871655247579E-3</c:v>
                </c:pt>
                <c:pt idx="83">
                  <c:v>1.642073021232749E-2</c:v>
                </c:pt>
                <c:pt idx="84">
                  <c:v>-1.1672089101553026E-2</c:v>
                </c:pt>
                <c:pt idx="85">
                  <c:v>-5.8668157039124388E-3</c:v>
                </c:pt>
                <c:pt idx="86">
                  <c:v>6.5257128986108016E-3</c:v>
                </c:pt>
                <c:pt idx="87">
                  <c:v>-5.3247602747148893E-3</c:v>
                </c:pt>
                <c:pt idx="88">
                  <c:v>-2.6887511963965476E-2</c:v>
                </c:pt>
                <c:pt idx="89">
                  <c:v>1.5984819804058345E-2</c:v>
                </c:pt>
                <c:pt idx="90">
                  <c:v>-2.7702367487542214E-2</c:v>
                </c:pt>
                <c:pt idx="91">
                  <c:v>-4.7430237243777417E-3</c:v>
                </c:pt>
                <c:pt idx="92">
                  <c:v>4.7478272623182598E-2</c:v>
                </c:pt>
                <c:pt idx="93">
                  <c:v>-3.2614333791540131E-3</c:v>
                </c:pt>
                <c:pt idx="94">
                  <c:v>1.0745578815420573E-3</c:v>
                </c:pt>
                <c:pt idx="95">
                  <c:v>9.0464863019880989E-3</c:v>
                </c:pt>
                <c:pt idx="96">
                  <c:v>-1.1735049127610796E-2</c:v>
                </c:pt>
                <c:pt idx="97">
                  <c:v>-1.8240615288837674E-3</c:v>
                </c:pt>
                <c:pt idx="98">
                  <c:v>-8.8355996997747984E-3</c:v>
                </c:pt>
                <c:pt idx="99">
                  <c:v>1.0535399035270916E-2</c:v>
                </c:pt>
                <c:pt idx="100">
                  <c:v>-3.674666251790517E-2</c:v>
                </c:pt>
                <c:pt idx="101">
                  <c:v>-1.7776318947535709E-2</c:v>
                </c:pt>
                <c:pt idx="102">
                  <c:v>-5.5710450494552482E-3</c:v>
                </c:pt>
                <c:pt idx="103">
                  <c:v>2.4592827878486743E-2</c:v>
                </c:pt>
                <c:pt idx="104">
                  <c:v>1.1097471865151323E-2</c:v>
                </c:pt>
                <c:pt idx="105">
                  <c:v>1.3198310960503145E-2</c:v>
                </c:pt>
                <c:pt idx="106">
                  <c:v>2.3848884758284079E-3</c:v>
                </c:pt>
                <c:pt idx="107">
                  <c:v>-4.2717210446669646E-3</c:v>
                </c:pt>
                <c:pt idx="108">
                  <c:v>-3.154970290232461E-2</c:v>
                </c:pt>
                <c:pt idx="109">
                  <c:v>-1.0800087558002096E-2</c:v>
                </c:pt>
                <c:pt idx="110">
                  <c:v>1.3049904627786473E-2</c:v>
                </c:pt>
                <c:pt idx="111">
                  <c:v>1.6374133513434877E-2</c:v>
                </c:pt>
                <c:pt idx="112">
                  <c:v>3.4268532216370808E-2</c:v>
                </c:pt>
                <c:pt idx="113">
                  <c:v>1.5410007347031351E-2</c:v>
                </c:pt>
                <c:pt idx="114">
                  <c:v>1.4976891537688091E-2</c:v>
                </c:pt>
                <c:pt idx="115">
                  <c:v>3.7238345140118791E-2</c:v>
                </c:pt>
                <c:pt idx="116">
                  <c:v>-5.8919974053747437E-3</c:v>
                </c:pt>
                <c:pt idx="117">
                  <c:v>1.6208709939516638E-3</c:v>
                </c:pt>
                <c:pt idx="118">
                  <c:v>7.8739052116516776E-3</c:v>
                </c:pt>
                <c:pt idx="119">
                  <c:v>2.5981980075493317E-3</c:v>
                </c:pt>
                <c:pt idx="120">
                  <c:v>2.781748959649534E-3</c:v>
                </c:pt>
                <c:pt idx="121">
                  <c:v>2.2016959193141849E-2</c:v>
                </c:pt>
                <c:pt idx="122">
                  <c:v>-1.4133053747629883E-2</c:v>
                </c:pt>
                <c:pt idx="123">
                  <c:v>2.8876424982925194E-2</c:v>
                </c:pt>
                <c:pt idx="124">
                  <c:v>3.6306072696526484E-2</c:v>
                </c:pt>
                <c:pt idx="125">
                  <c:v>-7.0995293051211369E-3</c:v>
                </c:pt>
                <c:pt idx="126">
                  <c:v>-1.4532792509261885E-2</c:v>
                </c:pt>
                <c:pt idx="127">
                  <c:v>-1.1999707639632807E-2</c:v>
                </c:pt>
                <c:pt idx="128">
                  <c:v>-4.7567647579078916E-4</c:v>
                </c:pt>
                <c:pt idx="129">
                  <c:v>2.1936737183712082E-2</c:v>
                </c:pt>
                <c:pt idx="130">
                  <c:v>3.2340425891081728E-2</c:v>
                </c:pt>
                <c:pt idx="131">
                  <c:v>-1.2487427478607357E-3</c:v>
                </c:pt>
                <c:pt idx="132">
                  <c:v>1.4061923937956435E-2</c:v>
                </c:pt>
                <c:pt idx="133">
                  <c:v>3.4346368709242688E-2</c:v>
                </c:pt>
                <c:pt idx="134">
                  <c:v>-2.806884135617977E-2</c:v>
                </c:pt>
                <c:pt idx="135">
                  <c:v>3.5054963488813658E-2</c:v>
                </c:pt>
                <c:pt idx="136">
                  <c:v>-1.5354371803150503E-2</c:v>
                </c:pt>
                <c:pt idx="137">
                  <c:v>-6.6238422311871561E-2</c:v>
                </c:pt>
                <c:pt idx="138">
                  <c:v>7.6225730969116945E-2</c:v>
                </c:pt>
                <c:pt idx="139">
                  <c:v>-2.3212972217718491E-2</c:v>
                </c:pt>
                <c:pt idx="140">
                  <c:v>2.9203773545131248E-2</c:v>
                </c:pt>
                <c:pt idx="141">
                  <c:v>-1.6111505569462104E-2</c:v>
                </c:pt>
                <c:pt idx="142">
                  <c:v>-1.6002493033955789E-2</c:v>
                </c:pt>
                <c:pt idx="143">
                  <c:v>8.8397620056291509E-3</c:v>
                </c:pt>
                <c:pt idx="144">
                  <c:v>-1.077330964919102E-2</c:v>
                </c:pt>
                <c:pt idx="145">
                  <c:v>-1.9301581403337362E-2</c:v>
                </c:pt>
                <c:pt idx="146">
                  <c:v>6.3836244453660531E-3</c:v>
                </c:pt>
                <c:pt idx="147">
                  <c:v>1.444475251132055E-2</c:v>
                </c:pt>
                <c:pt idx="148">
                  <c:v>1.1092307052136508E-2</c:v>
                </c:pt>
                <c:pt idx="149">
                  <c:v>1.0937452726732501E-2</c:v>
                </c:pt>
                <c:pt idx="150">
                  <c:v>1.1737301341745681E-2</c:v>
                </c:pt>
                <c:pt idx="151">
                  <c:v>-6.1482003930679388E-3</c:v>
                </c:pt>
                <c:pt idx="152">
                  <c:v>-9.2438329056095843E-3</c:v>
                </c:pt>
                <c:pt idx="153">
                  <c:v>1.463787308586949E-2</c:v>
                </c:pt>
                <c:pt idx="154">
                  <c:v>-3.6102833927730518E-2</c:v>
                </c:pt>
                <c:pt idx="155">
                  <c:v>-1.395293663384476E-3</c:v>
                </c:pt>
                <c:pt idx="156">
                  <c:v>-1.50977339358294E-2</c:v>
                </c:pt>
                <c:pt idx="157">
                  <c:v>-9.5182571519568972E-3</c:v>
                </c:pt>
                <c:pt idx="158">
                  <c:v>3.0151655832545449E-2</c:v>
                </c:pt>
                <c:pt idx="159">
                  <c:v>-1.3982902949959193E-2</c:v>
                </c:pt>
                <c:pt idx="160">
                  <c:v>-1.8907171448307269E-3</c:v>
                </c:pt>
                <c:pt idx="161">
                  <c:v>-2.9400532473836283E-2</c:v>
                </c:pt>
                <c:pt idx="162">
                  <c:v>9.2413623725680991E-3</c:v>
                </c:pt>
                <c:pt idx="163">
                  <c:v>-9.914870488986401E-3</c:v>
                </c:pt>
                <c:pt idx="164">
                  <c:v>-1.4645211034285103E-2</c:v>
                </c:pt>
                <c:pt idx="165">
                  <c:v>1.5920947413409554E-2</c:v>
                </c:pt>
                <c:pt idx="166">
                  <c:v>-1.7397334494930375E-2</c:v>
                </c:pt>
                <c:pt idx="167">
                  <c:v>-8.8316774999274671E-3</c:v>
                </c:pt>
                <c:pt idx="168">
                  <c:v>3.4235968230963219E-2</c:v>
                </c:pt>
                <c:pt idx="169">
                  <c:v>1.4051851354539898E-4</c:v>
                </c:pt>
                <c:pt idx="170">
                  <c:v>1.8377240001606485E-2</c:v>
                </c:pt>
                <c:pt idx="171">
                  <c:v>5.3313280867803986E-3</c:v>
                </c:pt>
                <c:pt idx="172">
                  <c:v>-1.3225559236201759E-2</c:v>
                </c:pt>
                <c:pt idx="173">
                  <c:v>1.5213222673335488E-2</c:v>
                </c:pt>
                <c:pt idx="174">
                  <c:v>1.1437643835092576E-2</c:v>
                </c:pt>
                <c:pt idx="175">
                  <c:v>-8.5659451674721214E-3</c:v>
                </c:pt>
                <c:pt idx="176">
                  <c:v>6.0920804427306574E-3</c:v>
                </c:pt>
                <c:pt idx="177">
                  <c:v>2.3970708055726715E-2</c:v>
                </c:pt>
                <c:pt idx="178">
                  <c:v>5.088565037658619E-3</c:v>
                </c:pt>
                <c:pt idx="179">
                  <c:v>2.193878227567542E-2</c:v>
                </c:pt>
                <c:pt idx="180">
                  <c:v>-1.7203956082177733E-2</c:v>
                </c:pt>
                <c:pt idx="181">
                  <c:v>-4.2929073165940156E-2</c:v>
                </c:pt>
                <c:pt idx="182">
                  <c:v>-1.4833484578998038E-2</c:v>
                </c:pt>
                <c:pt idx="183">
                  <c:v>-3.0281431398673378E-3</c:v>
                </c:pt>
                <c:pt idx="184">
                  <c:v>-3.5156060041120589E-2</c:v>
                </c:pt>
                <c:pt idx="185">
                  <c:v>2.7492651003171404E-2</c:v>
                </c:pt>
                <c:pt idx="186">
                  <c:v>1.4887920332716654E-2</c:v>
                </c:pt>
                <c:pt idx="187">
                  <c:v>1.4874121327607896E-2</c:v>
                </c:pt>
                <c:pt idx="188">
                  <c:v>1.2435990370474404E-2</c:v>
                </c:pt>
                <c:pt idx="189">
                  <c:v>6.2106787967930984E-3</c:v>
                </c:pt>
                <c:pt idx="190">
                  <c:v>1.3430159976443453E-2</c:v>
                </c:pt>
                <c:pt idx="191">
                  <c:v>-6.3601645430848997E-3</c:v>
                </c:pt>
                <c:pt idx="192">
                  <c:v>-4.4629549514479897E-3</c:v>
                </c:pt>
                <c:pt idx="193">
                  <c:v>1.4284300079734713E-2</c:v>
                </c:pt>
                <c:pt idx="194">
                  <c:v>5.0435708693707185E-2</c:v>
                </c:pt>
                <c:pt idx="195">
                  <c:v>8.226139305281913E-3</c:v>
                </c:pt>
                <c:pt idx="196">
                  <c:v>1.594664995224751E-2</c:v>
                </c:pt>
                <c:pt idx="197">
                  <c:v>-2.7086827259378912E-2</c:v>
                </c:pt>
                <c:pt idx="198">
                  <c:v>-2.1046356855401369E-3</c:v>
                </c:pt>
                <c:pt idx="199">
                  <c:v>1.7518059106414383E-2</c:v>
                </c:pt>
                <c:pt idx="200">
                  <c:v>2.4841069822338864E-2</c:v>
                </c:pt>
                <c:pt idx="201">
                  <c:v>-1.6893424633653389E-3</c:v>
                </c:pt>
                <c:pt idx="202">
                  <c:v>-1.2456109524364765E-2</c:v>
                </c:pt>
                <c:pt idx="203">
                  <c:v>4.346104531029827E-2</c:v>
                </c:pt>
                <c:pt idx="204">
                  <c:v>2.2220931896405846E-3</c:v>
                </c:pt>
                <c:pt idx="205">
                  <c:v>-4.5530296400813519E-2</c:v>
                </c:pt>
                <c:pt idx="206">
                  <c:v>-3.1839360720633488E-3</c:v>
                </c:pt>
                <c:pt idx="207">
                  <c:v>3.8256179115686564E-3</c:v>
                </c:pt>
                <c:pt idx="208">
                  <c:v>2.2651367102644211E-2</c:v>
                </c:pt>
                <c:pt idx="209">
                  <c:v>-6.4711571276916307E-3</c:v>
                </c:pt>
                <c:pt idx="210">
                  <c:v>1.6780067365914378E-2</c:v>
                </c:pt>
                <c:pt idx="211">
                  <c:v>1.1636238488994106E-2</c:v>
                </c:pt>
                <c:pt idx="212">
                  <c:v>-8.066333976339277E-3</c:v>
                </c:pt>
                <c:pt idx="213">
                  <c:v>-2.6833025628526696E-2</c:v>
                </c:pt>
                <c:pt idx="214">
                  <c:v>3.214945294847079E-2</c:v>
                </c:pt>
                <c:pt idx="215">
                  <c:v>-1.6570803476397555E-2</c:v>
                </c:pt>
                <c:pt idx="216">
                  <c:v>-3.0267318257932201E-2</c:v>
                </c:pt>
                <c:pt idx="217">
                  <c:v>1.5202815389451792E-2</c:v>
                </c:pt>
                <c:pt idx="218">
                  <c:v>5.3339697850379238E-2</c:v>
                </c:pt>
                <c:pt idx="219">
                  <c:v>1.863002224953186E-2</c:v>
                </c:pt>
                <c:pt idx="220">
                  <c:v>1.8123509495689725E-2</c:v>
                </c:pt>
                <c:pt idx="221">
                  <c:v>3.3100848045722067E-2</c:v>
                </c:pt>
                <c:pt idx="222">
                  <c:v>-1.6141769791213949E-2</c:v>
                </c:pt>
                <c:pt idx="223">
                  <c:v>-4.7381838501886903E-3</c:v>
                </c:pt>
                <c:pt idx="224">
                  <c:v>-5.913289241279247E-3</c:v>
                </c:pt>
                <c:pt idx="225">
                  <c:v>-5.3409812287370613E-3</c:v>
                </c:pt>
                <c:pt idx="226">
                  <c:v>-5.1754076633771301E-3</c:v>
                </c:pt>
                <c:pt idx="227">
                  <c:v>2.7774622720473218E-2</c:v>
                </c:pt>
                <c:pt idx="228">
                  <c:v>-1.3502932187488144E-3</c:v>
                </c:pt>
                <c:pt idx="229">
                  <c:v>4.1578383340152299E-2</c:v>
                </c:pt>
                <c:pt idx="230">
                  <c:v>5.1197298570556174E-3</c:v>
                </c:pt>
                <c:pt idx="231">
                  <c:v>-2.8568139472146616E-2</c:v>
                </c:pt>
                <c:pt idx="232">
                  <c:v>-5.9356833264715466E-3</c:v>
                </c:pt>
                <c:pt idx="233">
                  <c:v>-1.4710695704015935E-2</c:v>
                </c:pt>
                <c:pt idx="234">
                  <c:v>-4.4258441505192855E-2</c:v>
                </c:pt>
                <c:pt idx="235">
                  <c:v>1.2131254788336909E-2</c:v>
                </c:pt>
                <c:pt idx="236">
                  <c:v>-1.0066161195979135E-2</c:v>
                </c:pt>
                <c:pt idx="237">
                  <c:v>-4.3225783736469237E-2</c:v>
                </c:pt>
                <c:pt idx="238">
                  <c:v>2.8536382733217937E-2</c:v>
                </c:pt>
                <c:pt idx="239">
                  <c:v>-4.6278413700546967E-3</c:v>
                </c:pt>
                <c:pt idx="240">
                  <c:v>2.1293471807313634E-2</c:v>
                </c:pt>
                <c:pt idx="241">
                  <c:v>-5.165555836317267E-2</c:v>
                </c:pt>
                <c:pt idx="242">
                  <c:v>4.7406091566142934E-3</c:v>
                </c:pt>
                <c:pt idx="243">
                  <c:v>5.6592245830428111E-3</c:v>
                </c:pt>
                <c:pt idx="244">
                  <c:v>1.6759110423482486E-2</c:v>
                </c:pt>
                <c:pt idx="245">
                  <c:v>-1.8700858606392909E-2</c:v>
                </c:pt>
                <c:pt idx="246">
                  <c:v>-2.2996649087497463E-3</c:v>
                </c:pt>
                <c:pt idx="247">
                  <c:v>-2.859347829924536E-2</c:v>
                </c:pt>
                <c:pt idx="248">
                  <c:v>2.7589402850173337E-2</c:v>
                </c:pt>
                <c:pt idx="249">
                  <c:v>1.4082673693463874E-2</c:v>
                </c:pt>
              </c:numCache>
            </c:numRef>
          </c:val>
          <c:smooth val="0"/>
          <c:extLst>
            <c:ext xmlns:c16="http://schemas.microsoft.com/office/drawing/2014/chart" uri="{C3380CC4-5D6E-409C-BE32-E72D297353CC}">
              <c16:uniqueId val="{00000000-2001-9642-8E6C-80F19C50D2F9}"/>
            </c:ext>
          </c:extLst>
        </c:ser>
        <c:ser>
          <c:idx val="1"/>
          <c:order val="1"/>
          <c:tx>
            <c:strRef>
              <c:f>[1]Sheet1!$F$1</c:f>
              <c:strCache>
                <c:ptCount val="1"/>
                <c:pt idx="0">
                  <c:v>F Return</c:v>
                </c:pt>
              </c:strCache>
            </c:strRef>
          </c:tx>
          <c:marker>
            <c:symbol val="none"/>
          </c:marker>
          <c:cat>
            <c:strLit>
              <c:ptCount val="1"/>
              <c:pt idx="0">
                <c:v>A2:A253</c:v>
              </c:pt>
            </c:strLit>
          </c:cat>
          <c:val>
            <c:numRef>
              <c:f>[1]Sheet1!$F$2:$F$252</c:f>
              <c:numCache>
                <c:formatCode>General</c:formatCode>
                <c:ptCount val="251"/>
                <c:pt idx="1">
                  <c:v>-3.9609138095045827E-2</c:v>
                </c:pt>
                <c:pt idx="2">
                  <c:v>-1.8349138668196541E-2</c:v>
                </c:pt>
                <c:pt idx="3">
                  <c:v>3.1394983501496235E-2</c:v>
                </c:pt>
                <c:pt idx="4">
                  <c:v>-9.0135813053615239E-3</c:v>
                </c:pt>
                <c:pt idx="5">
                  <c:v>2.0906684819313862E-2</c:v>
                </c:pt>
                <c:pt idx="6">
                  <c:v>-6.1980220027601292E-2</c:v>
                </c:pt>
                <c:pt idx="7">
                  <c:v>4.1841065225740907E-3</c:v>
                </c:pt>
                <c:pt idx="8">
                  <c:v>-3.6135706329176322E-2</c:v>
                </c:pt>
                <c:pt idx="9">
                  <c:v>-6.1368946376292248E-2</c:v>
                </c:pt>
                <c:pt idx="10">
                  <c:v>8.9118859329194514E-2</c:v>
                </c:pt>
                <c:pt idx="11">
                  <c:v>-3.8631413140436451E-2</c:v>
                </c:pt>
                <c:pt idx="12">
                  <c:v>2.0574629393193728E-2</c:v>
                </c:pt>
                <c:pt idx="13">
                  <c:v>3.9921267443981265E-2</c:v>
                </c:pt>
                <c:pt idx="14">
                  <c:v>-2.7141540797582308E-2</c:v>
                </c:pt>
                <c:pt idx="15">
                  <c:v>-5.3050522296930061E-3</c:v>
                </c:pt>
                <c:pt idx="16">
                  <c:v>2.4173536534075984E-2</c:v>
                </c:pt>
                <c:pt idx="17">
                  <c:v>-1.6754318612047275E-2</c:v>
                </c:pt>
                <c:pt idx="18">
                  <c:v>1.8829008152907559E-2</c:v>
                </c:pt>
                <c:pt idx="19">
                  <c:v>1.3381568695831368E-2</c:v>
                </c:pt>
                <c:pt idx="20">
                  <c:v>2.8227680624867382E-2</c:v>
                </c:pt>
                <c:pt idx="21">
                  <c:v>-1.9900504080101475E-3</c:v>
                </c:pt>
                <c:pt idx="22">
                  <c:v>-1.9940186068643953E-3</c:v>
                </c:pt>
                <c:pt idx="23">
                  <c:v>1.2890609831077609E-2</c:v>
                </c:pt>
                <c:pt idx="24">
                  <c:v>-1.388911216066715E-2</c:v>
                </c:pt>
                <c:pt idx="25">
                  <c:v>1.6840417795247448E-2</c:v>
                </c:pt>
                <c:pt idx="26">
                  <c:v>9.7752489046422468E-3</c:v>
                </c:pt>
                <c:pt idx="27">
                  <c:v>-1.0758049966550427E-2</c:v>
                </c:pt>
                <c:pt idx="28">
                  <c:v>2.6202372394024117E-2</c:v>
                </c:pt>
                <c:pt idx="29">
                  <c:v>-1.5444322427473631E-2</c:v>
                </c:pt>
                <c:pt idx="30">
                  <c:v>0</c:v>
                </c:pt>
                <c:pt idx="31">
                  <c:v>1.4486008985661977E-2</c:v>
                </c:pt>
                <c:pt idx="32">
                  <c:v>1.1439590909394596E-2</c:v>
                </c:pt>
                <c:pt idx="33">
                  <c:v>4.7281411959458957E-3</c:v>
                </c:pt>
                <c:pt idx="34">
                  <c:v>4.7058910374127138E-3</c:v>
                </c:pt>
                <c:pt idx="35">
                  <c:v>9.345862418237599E-3</c:v>
                </c:pt>
                <c:pt idx="36">
                  <c:v>4.6403795565023009E-3</c:v>
                </c:pt>
                <c:pt idx="37">
                  <c:v>-4.6403795565022254E-3</c:v>
                </c:pt>
                <c:pt idx="38">
                  <c:v>-2.7945989310158002E-3</c:v>
                </c:pt>
                <c:pt idx="39">
                  <c:v>-2.2642476749759891E-2</c:v>
                </c:pt>
                <c:pt idx="40">
                  <c:v>-3.8240964384035057E-3</c:v>
                </c:pt>
                <c:pt idx="41">
                  <c:v>-7.6923456231556137E-3</c:v>
                </c:pt>
                <c:pt idx="42">
                  <c:v>-4.8379388024683773E-3</c:v>
                </c:pt>
                <c:pt idx="43">
                  <c:v>-1.3672087968400063E-2</c:v>
                </c:pt>
                <c:pt idx="44">
                  <c:v>4.9043747150898983E-3</c:v>
                </c:pt>
                <c:pt idx="45">
                  <c:v>1.5534292962184204E-2</c:v>
                </c:pt>
                <c:pt idx="46">
                  <c:v>-3.929778741436999E-2</c:v>
                </c:pt>
                <c:pt idx="47">
                  <c:v>2.0823756911260698E-2</c:v>
                </c:pt>
                <c:pt idx="48">
                  <c:v>4.8947723767284275E-3</c:v>
                </c:pt>
                <c:pt idx="49">
                  <c:v>-1.3766195764147959E-2</c:v>
                </c:pt>
                <c:pt idx="50">
                  <c:v>1.5717415895409724E-2</c:v>
                </c:pt>
                <c:pt idx="51">
                  <c:v>7.7670293376595964E-3</c:v>
                </c:pt>
                <c:pt idx="52">
                  <c:v>2.4834132037738394E-2</c:v>
                </c:pt>
                <c:pt idx="53">
                  <c:v>5.6444176196771313E-3</c:v>
                </c:pt>
                <c:pt idx="54">
                  <c:v>-1.227009259181447E-2</c:v>
                </c:pt>
                <c:pt idx="55">
                  <c:v>-9.5420571332030472E-3</c:v>
                </c:pt>
                <c:pt idx="56">
                  <c:v>1.8052746801111748E-2</c:v>
                </c:pt>
                <c:pt idx="57">
                  <c:v>-1.901197948857189E-2</c:v>
                </c:pt>
                <c:pt idx="58">
                  <c:v>9.5923268746013425E-4</c:v>
                </c:pt>
                <c:pt idx="59">
                  <c:v>1.5223890600634022E-2</c:v>
                </c:pt>
                <c:pt idx="60">
                  <c:v>1.4995594960356831E-2</c:v>
                </c:pt>
                <c:pt idx="61">
                  <c:v>-1.8621979310646511E-3</c:v>
                </c:pt>
                <c:pt idx="62">
                  <c:v>-2.3574877749710996E-2</c:v>
                </c:pt>
                <c:pt idx="63">
                  <c:v>1.4211513460960548E-2</c:v>
                </c:pt>
                <c:pt idx="64">
                  <c:v>1.5865941776317376E-2</c:v>
                </c:pt>
                <c:pt idx="65">
                  <c:v>4.6189458562944583E-3</c:v>
                </c:pt>
                <c:pt idx="66">
                  <c:v>4.5052663940943143E-2</c:v>
                </c:pt>
                <c:pt idx="67">
                  <c:v>3.6336177344773686E-2</c:v>
                </c:pt>
                <c:pt idx="68">
                  <c:v>3.3927089370857089E-3</c:v>
                </c:pt>
                <c:pt idx="69">
                  <c:v>-1.8803972857610606E-2</c:v>
                </c:pt>
                <c:pt idx="70">
                  <c:v>7.7353200484207366E-3</c:v>
                </c:pt>
                <c:pt idx="71">
                  <c:v>1.2760700590214488E-2</c:v>
                </c:pt>
                <c:pt idx="72">
                  <c:v>6.7397053769132353E-3</c:v>
                </c:pt>
                <c:pt idx="73">
                  <c:v>-1.0975205143768135E-2</c:v>
                </c:pt>
                <c:pt idx="74">
                  <c:v>8.4531357110584106E-3</c:v>
                </c:pt>
                <c:pt idx="75">
                  <c:v>-2.644077272891374E-2</c:v>
                </c:pt>
                <c:pt idx="76">
                  <c:v>-2.8936696740040211E-2</c:v>
                </c:pt>
                <c:pt idx="77">
                  <c:v>-8.0393465594172531E-3</c:v>
                </c:pt>
                <c:pt idx="78">
                  <c:v>8.9645904703720568E-4</c:v>
                </c:pt>
                <c:pt idx="79">
                  <c:v>1.3351333174864196E-2</c:v>
                </c:pt>
                <c:pt idx="80">
                  <c:v>-1.0666767804195303E-2</c:v>
                </c:pt>
                <c:pt idx="81">
                  <c:v>1.6836906374351153E-2</c:v>
                </c:pt>
                <c:pt idx="82">
                  <c:v>-1.0600805986640574E-2</c:v>
                </c:pt>
                <c:pt idx="83">
                  <c:v>1.8478308429735069E-2</c:v>
                </c:pt>
                <c:pt idx="84">
                  <c:v>-1.6703685071366603E-2</c:v>
                </c:pt>
                <c:pt idx="85">
                  <c:v>-1.7889564750775057E-2</c:v>
                </c:pt>
                <c:pt idx="86">
                  <c:v>-1.9134980186019723E-2</c:v>
                </c:pt>
                <c:pt idx="87">
                  <c:v>1.8232045587427425E-2</c:v>
                </c:pt>
                <c:pt idx="88">
                  <c:v>-2.2842473302210096E-2</c:v>
                </c:pt>
                <c:pt idx="89">
                  <c:v>1.1943182844174186E-2</c:v>
                </c:pt>
                <c:pt idx="90">
                  <c:v>9.9955398316790567E-3</c:v>
                </c:pt>
                <c:pt idx="91">
                  <c:v>1.3471240989879779E-2</c:v>
                </c:pt>
                <c:pt idx="92">
                  <c:v>6.2250089858442333E-3</c:v>
                </c:pt>
                <c:pt idx="93">
                  <c:v>3.539826705124208E-3</c:v>
                </c:pt>
                <c:pt idx="94">
                  <c:v>-1.6028838275898915E-2</c:v>
                </c:pt>
                <c:pt idx="95">
                  <c:v>9.8258941512912E-3</c:v>
                </c:pt>
                <c:pt idx="96">
                  <c:v>1.6747857301222763E-2</c:v>
                </c:pt>
                <c:pt idx="97">
                  <c:v>0</c:v>
                </c:pt>
                <c:pt idx="98">
                  <c:v>0</c:v>
                </c:pt>
                <c:pt idx="99">
                  <c:v>1.7467253349418002E-3</c:v>
                </c:pt>
                <c:pt idx="100">
                  <c:v>1.041676085825558E-2</c:v>
                </c:pt>
                <c:pt idx="101">
                  <c:v>-7.802380284184899E-3</c:v>
                </c:pt>
                <c:pt idx="102">
                  <c:v>-1.40230168207494E-2</c:v>
                </c:pt>
                <c:pt idx="103">
                  <c:v>3.5547739360035351E-2</c:v>
                </c:pt>
                <c:pt idx="104">
                  <c:v>6.7911975780017555E-3</c:v>
                </c:pt>
                <c:pt idx="105">
                  <c:v>1.6906174779074521E-3</c:v>
                </c:pt>
                <c:pt idx="106">
                  <c:v>5.8947539113492322E-3</c:v>
                </c:pt>
                <c:pt idx="107">
                  <c:v>-1.6935205757582696E-2</c:v>
                </c:pt>
                <c:pt idx="108">
                  <c:v>5.1107436625593312E-3</c:v>
                </c:pt>
                <c:pt idx="109">
                  <c:v>-4.2571371233187218E-3</c:v>
                </c:pt>
                <c:pt idx="110">
                  <c:v>-8.5690327251015143E-3</c:v>
                </c:pt>
                <c:pt idx="111">
                  <c:v>5.1502259763158611E-3</c:v>
                </c:pt>
                <c:pt idx="112">
                  <c:v>5.1238369998694664E-3</c:v>
                </c:pt>
                <c:pt idx="113">
                  <c:v>-4.2680389159734048E-3</c:v>
                </c:pt>
                <c:pt idx="114">
                  <c:v>-1.7256683623312674E-2</c:v>
                </c:pt>
                <c:pt idx="115">
                  <c:v>-6.1108876328001488E-3</c:v>
                </c:pt>
                <c:pt idx="116">
                  <c:v>2.9337738242616682E-2</c:v>
                </c:pt>
                <c:pt idx="117">
                  <c:v>-6.8259650703998706E-3</c:v>
                </c:pt>
                <c:pt idx="118">
                  <c:v>0</c:v>
                </c:pt>
                <c:pt idx="119">
                  <c:v>-6.011181690280921E-3</c:v>
                </c:pt>
                <c:pt idx="120">
                  <c:v>4.2973852125461733E-3</c:v>
                </c:pt>
                <c:pt idx="121">
                  <c:v>6.8376334776039686E-3</c:v>
                </c:pt>
                <c:pt idx="122">
                  <c:v>-1.027406297618534E-2</c:v>
                </c:pt>
                <c:pt idx="123">
                  <c:v>3.4364294985813186E-3</c:v>
                </c:pt>
                <c:pt idx="124">
                  <c:v>5.9854817430378239E-3</c:v>
                </c:pt>
                <c:pt idx="125">
                  <c:v>-8.5616961348110362E-3</c:v>
                </c:pt>
                <c:pt idx="126">
                  <c:v>-8.6021510680799214E-4</c:v>
                </c:pt>
                <c:pt idx="127">
                  <c:v>3.3011884668127101E-2</c:v>
                </c:pt>
                <c:pt idx="128">
                  <c:v>6.639028534809085E-3</c:v>
                </c:pt>
                <c:pt idx="129">
                  <c:v>-1.0810916104215506E-2</c:v>
                </c:pt>
                <c:pt idx="130">
                  <c:v>2.5589510200334321E-2</c:v>
                </c:pt>
                <c:pt idx="131">
                  <c:v>-4.0833049793707679E-3</c:v>
                </c:pt>
                <c:pt idx="132">
                  <c:v>3.6163040589598426E-2</c:v>
                </c:pt>
                <c:pt idx="133">
                  <c:v>2.3649991314978833E-3</c:v>
                </c:pt>
                <c:pt idx="134">
                  <c:v>-6.3384331827341836E-2</c:v>
                </c:pt>
                <c:pt idx="135">
                  <c:v>-1.5215847237253317E-2</c:v>
                </c:pt>
                <c:pt idx="136">
                  <c:v>-2.0654779030746025E-2</c:v>
                </c:pt>
                <c:pt idx="137">
                  <c:v>-7.8568714952201319E-3</c:v>
                </c:pt>
                <c:pt idx="138">
                  <c:v>1.1329097205969229E-2</c:v>
                </c:pt>
                <c:pt idx="139">
                  <c:v>9.4869189317562091E-3</c:v>
                </c:pt>
                <c:pt idx="140">
                  <c:v>9.3977624587713027E-3</c:v>
                </c:pt>
                <c:pt idx="141">
                  <c:v>-1.7021280705304183E-3</c:v>
                </c:pt>
                <c:pt idx="142">
                  <c:v>1.5215847237253215E-2</c:v>
                </c:pt>
                <c:pt idx="143">
                  <c:v>5.8553074022191526E-3</c:v>
                </c:pt>
                <c:pt idx="144">
                  <c:v>4.6444192000629853E-2</c:v>
                </c:pt>
                <c:pt idx="145">
                  <c:v>-1.0404255517432898E-2</c:v>
                </c:pt>
                <c:pt idx="146">
                  <c:v>-7.2668870453780005E-3</c:v>
                </c:pt>
                <c:pt idx="147">
                  <c:v>0.1147169317122818</c:v>
                </c:pt>
                <c:pt idx="148">
                  <c:v>-4.2810965431807048E-2</c:v>
                </c:pt>
                <c:pt idx="149">
                  <c:v>-9.8522964430115944E-3</c:v>
                </c:pt>
                <c:pt idx="150">
                  <c:v>8.3428621941571881E-3</c:v>
                </c:pt>
                <c:pt idx="151">
                  <c:v>-1.368842666057709E-2</c:v>
                </c:pt>
                <c:pt idx="152">
                  <c:v>5.3455644664198981E-3</c:v>
                </c:pt>
                <c:pt idx="153">
                  <c:v>-9.1813957902909544E-3</c:v>
                </c:pt>
                <c:pt idx="154">
                  <c:v>-1.7054676933662635E-2</c:v>
                </c:pt>
                <c:pt idx="155">
                  <c:v>2.471168218485709E-2</c:v>
                </c:pt>
                <c:pt idx="156">
                  <c:v>7.6248574033439538E-4</c:v>
                </c:pt>
                <c:pt idx="157">
                  <c:v>6.836335018291167E-3</c:v>
                </c:pt>
                <c:pt idx="158">
                  <c:v>-3.792192637062917E-3</c:v>
                </c:pt>
                <c:pt idx="159">
                  <c:v>1.0582109330537008E-2</c:v>
                </c:pt>
                <c:pt idx="160">
                  <c:v>1.1215070820140003E-2</c:v>
                </c:pt>
                <c:pt idx="161">
                  <c:v>-1.2719961999560294E-2</c:v>
                </c:pt>
                <c:pt idx="162">
                  <c:v>-6.8001773190645353E-3</c:v>
                </c:pt>
                <c:pt idx="163">
                  <c:v>-2.3783246053015576E-2</c:v>
                </c:pt>
                <c:pt idx="164">
                  <c:v>1.0810916104215456E-2</c:v>
                </c:pt>
                <c:pt idx="165">
                  <c:v>-9.2593254127967123E-3</c:v>
                </c:pt>
                <c:pt idx="166">
                  <c:v>-3.872471215111057E-2</c:v>
                </c:pt>
                <c:pt idx="167">
                  <c:v>3.3283579411029135E-2</c:v>
                </c:pt>
                <c:pt idx="168">
                  <c:v>1.008151229658359E-2</c:v>
                </c:pt>
                <c:pt idx="169">
                  <c:v>1.6073824831061054E-2</c:v>
                </c:pt>
                <c:pt idx="170">
                  <c:v>1.5174509740336296E-3</c:v>
                </c:pt>
                <c:pt idx="171">
                  <c:v>6.8001773190646412E-3</c:v>
                </c:pt>
                <c:pt idx="172">
                  <c:v>-9.0772181511165392E-3</c:v>
                </c:pt>
                <c:pt idx="173">
                  <c:v>-1.5314234973042481E-2</c:v>
                </c:pt>
                <c:pt idx="174">
                  <c:v>9.9808889976799146E-3</c:v>
                </c:pt>
                <c:pt idx="175">
                  <c:v>3.8124331346559388E-3</c:v>
                </c:pt>
                <c:pt idx="176">
                  <c:v>-8.4066219197107862E-3</c:v>
                </c:pt>
                <c:pt idx="177">
                  <c:v>8.4066219197107654E-3</c:v>
                </c:pt>
                <c:pt idx="178">
                  <c:v>-4.5766670274118666E-3</c:v>
                </c:pt>
                <c:pt idx="179">
                  <c:v>2.4916351264534418E-2</c:v>
                </c:pt>
                <c:pt idx="180">
                  <c:v>1.6272548414854187E-2</c:v>
                </c:pt>
                <c:pt idx="181">
                  <c:v>9.4925867967562676E-3</c:v>
                </c:pt>
                <c:pt idx="182">
                  <c:v>-8.0263108742288213E-3</c:v>
                </c:pt>
                <c:pt idx="183">
                  <c:v>1.464129104889448E-3</c:v>
                </c:pt>
                <c:pt idx="184">
                  <c:v>-2.6688018328837847E-2</c:v>
                </c:pt>
                <c:pt idx="185">
                  <c:v>7.5103270522275075E-4</c:v>
                </c:pt>
                <c:pt idx="186">
                  <c:v>1.1198325310029535E-2</c:v>
                </c:pt>
                <c:pt idx="187">
                  <c:v>-7.4266620569089445E-4</c:v>
                </c:pt>
                <c:pt idx="188">
                  <c:v>-1.2710451491427964E-2</c:v>
                </c:pt>
                <c:pt idx="189">
                  <c:v>5.2532953833456277E-3</c:v>
                </c:pt>
                <c:pt idx="190">
                  <c:v>-3.7495357014793633E-3</c:v>
                </c:pt>
                <c:pt idx="191">
                  <c:v>-2.2564883587325038E-3</c:v>
                </c:pt>
                <c:pt idx="192">
                  <c:v>-3.7721659214234125E-3</c:v>
                </c:pt>
                <c:pt idx="193">
                  <c:v>-8.3491946109214045E-3</c:v>
                </c:pt>
                <c:pt idx="194">
                  <c:v>1.6629256971534747E-2</c:v>
                </c:pt>
                <c:pt idx="195">
                  <c:v>9.6979499347949628E-3</c:v>
                </c:pt>
                <c:pt idx="196">
                  <c:v>2.4203601740886399E-2</c:v>
                </c:pt>
                <c:pt idx="197">
                  <c:v>-4.3573053689558126E-3</c:v>
                </c:pt>
                <c:pt idx="198">
                  <c:v>4.6916919787751657E-2</c:v>
                </c:pt>
                <c:pt idx="199">
                  <c:v>-1.3986241974739952E-2</c:v>
                </c:pt>
                <c:pt idx="200">
                  <c:v>-1.2044070492845459E-2</c:v>
                </c:pt>
                <c:pt idx="201">
                  <c:v>-3.5701573087053144E-3</c:v>
                </c:pt>
                <c:pt idx="202">
                  <c:v>-1.0064786616140709E-2</c:v>
                </c:pt>
                <c:pt idx="203">
                  <c:v>-2.1699827683226932E-3</c:v>
                </c:pt>
                <c:pt idx="204">
                  <c:v>-1.5323174679194442E-2</c:v>
                </c:pt>
                <c:pt idx="205">
                  <c:v>-2.3810648693718559E-2</c:v>
                </c:pt>
                <c:pt idx="206">
                  <c:v>3.6233168692275809E-2</c:v>
                </c:pt>
                <c:pt idx="207">
                  <c:v>-4.3668191663404025E-3</c:v>
                </c:pt>
                <c:pt idx="208">
                  <c:v>-1.1001211061973569E-2</c:v>
                </c:pt>
                <c:pt idx="209">
                  <c:v>-8.888947417246152E-3</c:v>
                </c:pt>
                <c:pt idx="210">
                  <c:v>3.5809452696710778E-2</c:v>
                </c:pt>
                <c:pt idx="211">
                  <c:v>-7.9279694521904327E-3</c:v>
                </c:pt>
                <c:pt idx="212">
                  <c:v>1.2940511275734732E-2</c:v>
                </c:pt>
                <c:pt idx="213">
                  <c:v>-8.6083745366001638E-3</c:v>
                </c:pt>
                <c:pt idx="214">
                  <c:v>-5.0559876574577259E-3</c:v>
                </c:pt>
                <c:pt idx="215">
                  <c:v>-5.8097476413211018E-3</c:v>
                </c:pt>
                <c:pt idx="216">
                  <c:v>6.5335985596442284E-3</c:v>
                </c:pt>
                <c:pt idx="217">
                  <c:v>-7.2621960417846715E-3</c:v>
                </c:pt>
                <c:pt idx="218">
                  <c:v>5.8139698654198161E-3</c:v>
                </c:pt>
                <c:pt idx="219">
                  <c:v>-1.5334364000106687E-2</c:v>
                </c:pt>
                <c:pt idx="220">
                  <c:v>-1.4727543162745406E-3</c:v>
                </c:pt>
                <c:pt idx="221">
                  <c:v>2.0423758786569747E-2</c:v>
                </c:pt>
                <c:pt idx="222">
                  <c:v>1.077209698191104E-2</c:v>
                </c:pt>
                <c:pt idx="223">
                  <c:v>8.5349024498372859E-3</c:v>
                </c:pt>
                <c:pt idx="224">
                  <c:v>7.0796463134009419E-4</c:v>
                </c:pt>
                <c:pt idx="225">
                  <c:v>-2.0014964063088638E-2</c:v>
                </c:pt>
                <c:pt idx="226">
                  <c:v>-5.066967047835067E-3</c:v>
                </c:pt>
                <c:pt idx="227">
                  <c:v>1.655309476340306E-2</c:v>
                </c:pt>
                <c:pt idx="228">
                  <c:v>-2.6764707933599495E-2</c:v>
                </c:pt>
                <c:pt idx="229">
                  <c:v>4.0235312191898971E-2</c:v>
                </c:pt>
                <c:pt idx="230">
                  <c:v>1.6067408178564543E-2</c:v>
                </c:pt>
                <c:pt idx="231">
                  <c:v>-1.3869627743487095E-3</c:v>
                </c:pt>
                <c:pt idx="232">
                  <c:v>-2.2457084100841899E-2</c:v>
                </c:pt>
                <c:pt idx="233">
                  <c:v>-5.0957166207507683E-2</c:v>
                </c:pt>
                <c:pt idx="234">
                  <c:v>-5.2906166238535599E-2</c:v>
                </c:pt>
                <c:pt idx="235">
                  <c:v>8.6241224440974044E-3</c:v>
                </c:pt>
                <c:pt idx="236">
                  <c:v>-3.7380097431401166E-2</c:v>
                </c:pt>
                <c:pt idx="237">
                  <c:v>-1.5516848690684244E-2</c:v>
                </c:pt>
                <c:pt idx="238">
                  <c:v>3.2867737066227228E-3</c:v>
                </c:pt>
                <c:pt idx="239">
                  <c:v>4.0933335910000096E-3</c:v>
                </c:pt>
                <c:pt idx="240">
                  <c:v>-1.0677719519179214E-2</c:v>
                </c:pt>
                <c:pt idx="241">
                  <c:v>-5.7971176843259579E-3</c:v>
                </c:pt>
                <c:pt idx="242">
                  <c:v>-3.1212993582210257E-2</c:v>
                </c:pt>
                <c:pt idx="243">
                  <c:v>3.4217313111615387E-3</c:v>
                </c:pt>
                <c:pt idx="244">
                  <c:v>1.9450930354829993E-2</c:v>
                </c:pt>
                <c:pt idx="245">
                  <c:v>-1.2642393415176468E-2</c:v>
                </c:pt>
                <c:pt idx="246">
                  <c:v>-1.2804272245987628E-2</c:v>
                </c:pt>
                <c:pt idx="247">
                  <c:v>-1.0362787035546659E-2</c:v>
                </c:pt>
                <c:pt idx="248">
                  <c:v>2.061928720273561E-2</c:v>
                </c:pt>
                <c:pt idx="249">
                  <c:v>6.7796869853787691E-3</c:v>
                </c:pt>
              </c:numCache>
            </c:numRef>
          </c:val>
          <c:smooth val="0"/>
          <c:extLst>
            <c:ext xmlns:c16="http://schemas.microsoft.com/office/drawing/2014/chart" uri="{C3380CC4-5D6E-409C-BE32-E72D297353CC}">
              <c16:uniqueId val="{00000001-2001-9642-8E6C-80F19C50D2F9}"/>
            </c:ext>
          </c:extLst>
        </c:ser>
        <c:ser>
          <c:idx val="2"/>
          <c:order val="2"/>
          <c:tx>
            <c:strRef>
              <c:f>[1]Sheet1!$G$1</c:f>
              <c:strCache>
                <c:ptCount val="1"/>
                <c:pt idx="0">
                  <c:v>AAPL Return</c:v>
                </c:pt>
              </c:strCache>
            </c:strRef>
          </c:tx>
          <c:marker>
            <c:symbol val="none"/>
          </c:marker>
          <c:cat>
            <c:strLit>
              <c:ptCount val="1"/>
              <c:pt idx="0">
                <c:v>A2:A253</c:v>
              </c:pt>
            </c:strLit>
          </c:cat>
          <c:val>
            <c:numRef>
              <c:f>[1]Sheet1!$G$2:$G$252</c:f>
              <c:numCache>
                <c:formatCode>General</c:formatCode>
                <c:ptCount val="251"/>
                <c:pt idx="1">
                  <c:v>1.041816419239041E-2</c:v>
                </c:pt>
                <c:pt idx="2">
                  <c:v>-2.693994273640031E-2</c:v>
                </c:pt>
                <c:pt idx="3">
                  <c:v>1.9226554118956955E-2</c:v>
                </c:pt>
                <c:pt idx="4">
                  <c:v>4.7606305665627204E-3</c:v>
                </c:pt>
                <c:pt idx="5">
                  <c:v>3.1314331753118378E-3</c:v>
                </c:pt>
                <c:pt idx="6">
                  <c:v>-9.7013357916483689E-2</c:v>
                </c:pt>
                <c:pt idx="7">
                  <c:v>-7.5680302500250957E-2</c:v>
                </c:pt>
                <c:pt idx="8">
                  <c:v>-3.7425955653188146E-2</c:v>
                </c:pt>
                <c:pt idx="9">
                  <c:v>-5.1101882959704026E-2</c:v>
                </c:pt>
                <c:pt idx="10">
                  <c:v>0.14261741087192081</c:v>
                </c:pt>
                <c:pt idx="11">
                  <c:v>-4.3318612796154309E-2</c:v>
                </c:pt>
                <c:pt idx="12">
                  <c:v>3.9792160778898779E-2</c:v>
                </c:pt>
                <c:pt idx="13">
                  <c:v>2.1814327465264516E-2</c:v>
                </c:pt>
                <c:pt idx="14">
                  <c:v>-1.8781204551920384E-3</c:v>
                </c:pt>
                <c:pt idx="15">
                  <c:v>-3.9711582595827098E-2</c:v>
                </c:pt>
                <c:pt idx="16">
                  <c:v>1.385325669086682E-2</c:v>
                </c:pt>
                <c:pt idx="17">
                  <c:v>-1.9583339736215177E-2</c:v>
                </c:pt>
                <c:pt idx="18">
                  <c:v>3.3497659809647508E-2</c:v>
                </c:pt>
                <c:pt idx="19">
                  <c:v>2.4040332702537383E-2</c:v>
                </c:pt>
                <c:pt idx="20">
                  <c:v>1.8258492064582833E-2</c:v>
                </c:pt>
                <c:pt idx="21">
                  <c:v>4.3577226867250411E-3</c:v>
                </c:pt>
                <c:pt idx="22">
                  <c:v>4.1009069917952523E-3</c:v>
                </c:pt>
                <c:pt idx="23">
                  <c:v>5.0789239354215587E-3</c:v>
                </c:pt>
                <c:pt idx="24">
                  <c:v>6.0890891684208118E-3</c:v>
                </c:pt>
                <c:pt idx="25">
                  <c:v>3.8513973679298731E-3</c:v>
                </c:pt>
                <c:pt idx="26">
                  <c:v>-3.8077545329833914E-2</c:v>
                </c:pt>
                <c:pt idx="27">
                  <c:v>-3.19639323274125E-2</c:v>
                </c:pt>
                <c:pt idx="28">
                  <c:v>-1.9124313830772783E-3</c:v>
                </c:pt>
                <c:pt idx="29">
                  <c:v>-1.1450120029559962E-2</c:v>
                </c:pt>
                <c:pt idx="30">
                  <c:v>6.298593485377273E-3</c:v>
                </c:pt>
                <c:pt idx="31">
                  <c:v>5.2522720610924155E-3</c:v>
                </c:pt>
                <c:pt idx="32">
                  <c:v>5.9922155002815725E-2</c:v>
                </c:pt>
                <c:pt idx="33">
                  <c:v>1.0101095986503919E-2</c:v>
                </c:pt>
                <c:pt idx="34">
                  <c:v>-2.8218050046047607E-3</c:v>
                </c:pt>
                <c:pt idx="35">
                  <c:v>-4.1531042752048983E-3</c:v>
                </c:pt>
                <c:pt idx="36">
                  <c:v>-8.9896152348143657E-4</c:v>
                </c:pt>
                <c:pt idx="37">
                  <c:v>-1.1808536414863721E-2</c:v>
                </c:pt>
                <c:pt idx="38">
                  <c:v>-9.2388300304947473E-3</c:v>
                </c:pt>
                <c:pt idx="39">
                  <c:v>-2.3329093219500632E-2</c:v>
                </c:pt>
                <c:pt idx="40">
                  <c:v>-3.6187919030965495E-3</c:v>
                </c:pt>
                <c:pt idx="41">
                  <c:v>-3.0711134574654807E-2</c:v>
                </c:pt>
                <c:pt idx="42">
                  <c:v>2.4983599431202347E-2</c:v>
                </c:pt>
                <c:pt idx="43">
                  <c:v>1.0483489465745394E-3</c:v>
                </c:pt>
                <c:pt idx="44">
                  <c:v>-2.3478293373554809E-3</c:v>
                </c:pt>
                <c:pt idx="45">
                  <c:v>4.4910255124638023E-3</c:v>
                </c:pt>
                <c:pt idx="46">
                  <c:v>4.2230841548747573E-3</c:v>
                </c:pt>
                <c:pt idx="47">
                  <c:v>7.7536996107045722E-3</c:v>
                </c:pt>
                <c:pt idx="48">
                  <c:v>-2.2162583870203399E-3</c:v>
                </c:pt>
                <c:pt idx="49">
                  <c:v>-1.085647049174078E-2</c:v>
                </c:pt>
                <c:pt idx="50">
                  <c:v>1.6265344375750522E-2</c:v>
                </c:pt>
                <c:pt idx="51">
                  <c:v>-1.2186548430503737E-2</c:v>
                </c:pt>
                <c:pt idx="52">
                  <c:v>6.0378288938655912E-3</c:v>
                </c:pt>
                <c:pt idx="53">
                  <c:v>-1.9380354991362321E-2</c:v>
                </c:pt>
                <c:pt idx="54">
                  <c:v>2.1106596106382439E-3</c:v>
                </c:pt>
                <c:pt idx="55">
                  <c:v>-1.3901399146029038E-2</c:v>
                </c:pt>
                <c:pt idx="56">
                  <c:v>9.9780502172876224E-3</c:v>
                </c:pt>
                <c:pt idx="57">
                  <c:v>-1.4109760550600002E-2</c:v>
                </c:pt>
                <c:pt idx="58">
                  <c:v>4.7932374673270439E-3</c:v>
                </c:pt>
                <c:pt idx="59">
                  <c:v>2.2235434920592347E-2</c:v>
                </c:pt>
                <c:pt idx="60">
                  <c:v>2.4844733276619658E-3</c:v>
                </c:pt>
                <c:pt idx="61">
                  <c:v>-5.9731387149650926E-3</c:v>
                </c:pt>
                <c:pt idx="62">
                  <c:v>6.2708611406248112E-3</c:v>
                </c:pt>
                <c:pt idx="63">
                  <c:v>-2.782195753321553E-3</c:v>
                </c:pt>
                <c:pt idx="64">
                  <c:v>3.9793076529873232E-4</c:v>
                </c:pt>
                <c:pt idx="65">
                  <c:v>2.0136064953739752E-2</c:v>
                </c:pt>
                <c:pt idx="66">
                  <c:v>1.2833416646386379E-2</c:v>
                </c:pt>
                <c:pt idx="67">
                  <c:v>2.1987275129697868E-2</c:v>
                </c:pt>
                <c:pt idx="68">
                  <c:v>5.2114017332771934E-3</c:v>
                </c:pt>
                <c:pt idx="69">
                  <c:v>-1.7001590157273334E-2</c:v>
                </c:pt>
                <c:pt idx="70">
                  <c:v>2.8574150113462317E-4</c:v>
                </c:pt>
                <c:pt idx="71">
                  <c:v>5.3662719302117997E-3</c:v>
                </c:pt>
                <c:pt idx="72">
                  <c:v>5.9969486772448706E-3</c:v>
                </c:pt>
                <c:pt idx="73">
                  <c:v>-5.902229283378157E-3</c:v>
                </c:pt>
                <c:pt idx="74">
                  <c:v>-1.210172470759039E-2</c:v>
                </c:pt>
                <c:pt idx="75">
                  <c:v>2.3460140508832585E-3</c:v>
                </c:pt>
                <c:pt idx="76">
                  <c:v>5.0087160785759338E-3</c:v>
                </c:pt>
                <c:pt idx="77">
                  <c:v>-6.6638109943707117E-4</c:v>
                </c:pt>
                <c:pt idx="78">
                  <c:v>5.5080861005209316E-3</c:v>
                </c:pt>
                <c:pt idx="79">
                  <c:v>6.1370159097006195E-3</c:v>
                </c:pt>
                <c:pt idx="80">
                  <c:v>8.9955629085780031E-3</c:v>
                </c:pt>
                <c:pt idx="81">
                  <c:v>-1.1667251352669031E-3</c:v>
                </c:pt>
                <c:pt idx="82">
                  <c:v>-1.8228137130991598E-3</c:v>
                </c:pt>
                <c:pt idx="83">
                  <c:v>5.6121973225001546E-4</c:v>
                </c:pt>
                <c:pt idx="84">
                  <c:v>7.9452251042439034E-4</c:v>
                </c:pt>
                <c:pt idx="85">
                  <c:v>-1.3072696278811793E-2</c:v>
                </c:pt>
                <c:pt idx="86">
                  <c:v>-1.0563478509569259E-2</c:v>
                </c:pt>
                <c:pt idx="87">
                  <c:v>-7.104825623744683E-3</c:v>
                </c:pt>
                <c:pt idx="88">
                  <c:v>-2.5321513877215478E-2</c:v>
                </c:pt>
                <c:pt idx="89">
                  <c:v>4.7815140516196241E-3</c:v>
                </c:pt>
                <c:pt idx="90">
                  <c:v>-2.1168196547443788E-3</c:v>
                </c:pt>
                <c:pt idx="91">
                  <c:v>4.9653373673299327E-2</c:v>
                </c:pt>
                <c:pt idx="92">
                  <c:v>3.1298714320261108E-2</c:v>
                </c:pt>
                <c:pt idx="93">
                  <c:v>4.1485320351131408E-2</c:v>
                </c:pt>
                <c:pt idx="94">
                  <c:v>-9.506566239905357E-3</c:v>
                </c:pt>
                <c:pt idx="95">
                  <c:v>1.0813755968526953E-2</c:v>
                </c:pt>
                <c:pt idx="96">
                  <c:v>1.5897349787165019E-2</c:v>
                </c:pt>
                <c:pt idx="97">
                  <c:v>-2.3599590451372499E-3</c:v>
                </c:pt>
                <c:pt idx="98">
                  <c:v>-5.1252346401009499E-3</c:v>
                </c:pt>
                <c:pt idx="99">
                  <c:v>-3.0271602428172274E-3</c:v>
                </c:pt>
                <c:pt idx="100">
                  <c:v>-1.430274379700124E-3</c:v>
                </c:pt>
                <c:pt idx="101">
                  <c:v>-1.9931886170219938E-2</c:v>
                </c:pt>
                <c:pt idx="102">
                  <c:v>-4.9233871157219602E-3</c:v>
                </c:pt>
                <c:pt idx="103">
                  <c:v>1.2636584004512057E-2</c:v>
                </c:pt>
                <c:pt idx="104">
                  <c:v>-2.6378279605502935E-3</c:v>
                </c:pt>
                <c:pt idx="105">
                  <c:v>9.4201848936647913E-3</c:v>
                </c:pt>
                <c:pt idx="106">
                  <c:v>5.1326776447566114E-3</c:v>
                </c:pt>
                <c:pt idx="107">
                  <c:v>8.9407787029671757E-3</c:v>
                </c:pt>
                <c:pt idx="108">
                  <c:v>-1.8076183101439452E-3</c:v>
                </c:pt>
                <c:pt idx="109">
                  <c:v>-1.0479461944380755E-2</c:v>
                </c:pt>
                <c:pt idx="110">
                  <c:v>3.738234025703522E-2</c:v>
                </c:pt>
                <c:pt idx="111">
                  <c:v>5.4783200263767082E-3</c:v>
                </c:pt>
                <c:pt idx="112">
                  <c:v>-3.7541452460853166E-4</c:v>
                </c:pt>
                <c:pt idx="113">
                  <c:v>-7.5800769165061304E-3</c:v>
                </c:pt>
                <c:pt idx="114">
                  <c:v>-1.4950620469677826E-2</c:v>
                </c:pt>
                <c:pt idx="115">
                  <c:v>-3.2791245197944616E-2</c:v>
                </c:pt>
                <c:pt idx="116">
                  <c:v>1.4185256029157005E-2</c:v>
                </c:pt>
                <c:pt idx="117">
                  <c:v>1.7410480721885509E-2</c:v>
                </c:pt>
                <c:pt idx="118">
                  <c:v>1.1173300598125255E-2</c:v>
                </c:pt>
                <c:pt idx="119">
                  <c:v>6.1072107269313034E-3</c:v>
                </c:pt>
                <c:pt idx="120">
                  <c:v>3.5209828050978467E-3</c:v>
                </c:pt>
                <c:pt idx="121">
                  <c:v>-4.6553652135744661E-3</c:v>
                </c:pt>
                <c:pt idx="122">
                  <c:v>3.1530602396182335E-2</c:v>
                </c:pt>
                <c:pt idx="123">
                  <c:v>4.2192948427032299E-2</c:v>
                </c:pt>
                <c:pt idx="124">
                  <c:v>-6.4641466198891257E-3</c:v>
                </c:pt>
                <c:pt idx="125">
                  <c:v>-8.367258825429779E-3</c:v>
                </c:pt>
                <c:pt idx="126">
                  <c:v>1.7911630124575698E-2</c:v>
                </c:pt>
                <c:pt idx="127">
                  <c:v>-5.5042787262334567E-3</c:v>
                </c:pt>
                <c:pt idx="128">
                  <c:v>-4.040092572912473E-3</c:v>
                </c:pt>
                <c:pt idx="129">
                  <c:v>7.8576203312136412E-4</c:v>
                </c:pt>
                <c:pt idx="130">
                  <c:v>3.2151847019672259E-3</c:v>
                </c:pt>
                <c:pt idx="131">
                  <c:v>6.555097802094065E-3</c:v>
                </c:pt>
                <c:pt idx="132">
                  <c:v>3.4553077180894433E-3</c:v>
                </c:pt>
                <c:pt idx="133">
                  <c:v>-5.1679701584425612E-3</c:v>
                </c:pt>
                <c:pt idx="134">
                  <c:v>-8.1844227730499413E-4</c:v>
                </c:pt>
                <c:pt idx="135">
                  <c:v>6.1414271624570778E-3</c:v>
                </c:pt>
                <c:pt idx="136">
                  <c:v>-1.5700381088925939E-2</c:v>
                </c:pt>
                <c:pt idx="137">
                  <c:v>-3.5132090374928697E-2</c:v>
                </c:pt>
                <c:pt idx="138">
                  <c:v>9.6971932271071818E-3</c:v>
                </c:pt>
                <c:pt idx="139">
                  <c:v>4.440587037828413E-4</c:v>
                </c:pt>
                <c:pt idx="140">
                  <c:v>6.3165304260936386E-3</c:v>
                </c:pt>
                <c:pt idx="141">
                  <c:v>-7.6088855189339194E-3</c:v>
                </c:pt>
                <c:pt idx="142">
                  <c:v>1.9370678108879068E-2</c:v>
                </c:pt>
                <c:pt idx="143">
                  <c:v>3.8680895488745502E-2</c:v>
                </c:pt>
                <c:pt idx="144">
                  <c:v>2.0190098475877521E-3</c:v>
                </c:pt>
                <c:pt idx="145">
                  <c:v>-1.6576873201058953E-2</c:v>
                </c:pt>
                <c:pt idx="146">
                  <c:v>4.3626886175645412E-3</c:v>
                </c:pt>
                <c:pt idx="147">
                  <c:v>1.2404446955879033E-2</c:v>
                </c:pt>
                <c:pt idx="148">
                  <c:v>2.2535423122463517E-2</c:v>
                </c:pt>
                <c:pt idx="149">
                  <c:v>7.0656926388370416E-4</c:v>
                </c:pt>
                <c:pt idx="150">
                  <c:v>2.5988505438451492E-3</c:v>
                </c:pt>
                <c:pt idx="151">
                  <c:v>6.2835172550845036E-3</c:v>
                </c:pt>
                <c:pt idx="152">
                  <c:v>-3.8023561325672382E-3</c:v>
                </c:pt>
                <c:pt idx="153">
                  <c:v>-4.8941553327728152E-3</c:v>
                </c:pt>
                <c:pt idx="154">
                  <c:v>3.6728602382412124E-3</c:v>
                </c:pt>
                <c:pt idx="155">
                  <c:v>3.7024695894810876E-4</c:v>
                </c:pt>
                <c:pt idx="156">
                  <c:v>-1.3705990180649203E-3</c:v>
                </c:pt>
                <c:pt idx="157">
                  <c:v>-4.8305682516764535E-3</c:v>
                </c:pt>
                <c:pt idx="158">
                  <c:v>3.5694404880914532E-3</c:v>
                </c:pt>
                <c:pt idx="159">
                  <c:v>2.1371159251821259E-2</c:v>
                </c:pt>
                <c:pt idx="160">
                  <c:v>-6.4878489709490634E-3</c:v>
                </c:pt>
                <c:pt idx="161">
                  <c:v>-1.903298404073698E-3</c:v>
                </c:pt>
                <c:pt idx="162">
                  <c:v>-1.9803439067010314E-3</c:v>
                </c:pt>
                <c:pt idx="163">
                  <c:v>-1.8338261876415136E-2</c:v>
                </c:pt>
                <c:pt idx="164">
                  <c:v>-7.4780332807222467E-5</c:v>
                </c:pt>
                <c:pt idx="165">
                  <c:v>4.1791105599363393E-3</c:v>
                </c:pt>
                <c:pt idx="166">
                  <c:v>-8.6386356481446304E-3</c:v>
                </c:pt>
                <c:pt idx="167">
                  <c:v>1.9489589259502289E-2</c:v>
                </c:pt>
                <c:pt idx="168">
                  <c:v>1.6185662345448357E-2</c:v>
                </c:pt>
                <c:pt idx="169">
                  <c:v>3.7982284444352779E-3</c:v>
                </c:pt>
                <c:pt idx="170">
                  <c:v>2.0919000631496021E-3</c:v>
                </c:pt>
                <c:pt idx="171">
                  <c:v>4.6729056993924231E-3</c:v>
                </c:pt>
                <c:pt idx="172">
                  <c:v>1.512618928229114E-2</c:v>
                </c:pt>
                <c:pt idx="173">
                  <c:v>1.0855733793081178E-2</c:v>
                </c:pt>
                <c:pt idx="174">
                  <c:v>-7.1536581678047408E-3</c:v>
                </c:pt>
                <c:pt idx="175">
                  <c:v>-1.221578437529367E-2</c:v>
                </c:pt>
                <c:pt idx="176">
                  <c:v>-6.863543066096575E-3</c:v>
                </c:pt>
                <c:pt idx="177">
                  <c:v>-3.1975883676944017E-3</c:v>
                </c:pt>
                <c:pt idx="178">
                  <c:v>-2.5582372933893359E-3</c:v>
                </c:pt>
                <c:pt idx="179">
                  <c:v>5.7558256610836991E-3</c:v>
                </c:pt>
                <c:pt idx="180">
                  <c:v>-2.6939187642996787E-3</c:v>
                </c:pt>
                <c:pt idx="181">
                  <c:v>8.9877951799999299E-4</c:v>
                </c:pt>
                <c:pt idx="182">
                  <c:v>-1.509831537680152E-2</c:v>
                </c:pt>
                <c:pt idx="183">
                  <c:v>1.8224235981354902E-3</c:v>
                </c:pt>
                <c:pt idx="184">
                  <c:v>-1.013825135315272E-2</c:v>
                </c:pt>
                <c:pt idx="185">
                  <c:v>1.2866939260253387E-3</c:v>
                </c:pt>
                <c:pt idx="186">
                  <c:v>5.4226491284583497E-3</c:v>
                </c:pt>
                <c:pt idx="187">
                  <c:v>-9.9148873332354798E-3</c:v>
                </c:pt>
                <c:pt idx="188">
                  <c:v>5.116606969895846E-3</c:v>
                </c:pt>
                <c:pt idx="189">
                  <c:v>5.3097145821295851E-3</c:v>
                </c:pt>
                <c:pt idx="190">
                  <c:v>-1.4985109070465431E-3</c:v>
                </c:pt>
                <c:pt idx="191">
                  <c:v>1.3158858540342575E-3</c:v>
                </c:pt>
                <c:pt idx="192">
                  <c:v>-2.4870175938038587E-3</c:v>
                </c:pt>
                <c:pt idx="193">
                  <c:v>-4.4775646429776467E-3</c:v>
                </c:pt>
                <c:pt idx="194">
                  <c:v>-3.1315073391992238E-3</c:v>
                </c:pt>
                <c:pt idx="195">
                  <c:v>-1.3933753214987847E-2</c:v>
                </c:pt>
                <c:pt idx="196">
                  <c:v>-1.8504360927380031E-2</c:v>
                </c:pt>
                <c:pt idx="197">
                  <c:v>-7.7675494332428621E-3</c:v>
                </c:pt>
                <c:pt idx="198">
                  <c:v>-4.9675670629667958E-3</c:v>
                </c:pt>
                <c:pt idx="199">
                  <c:v>1.2731237613982068E-3</c:v>
                </c:pt>
                <c:pt idx="200">
                  <c:v>3.3870938043550165E-3</c:v>
                </c:pt>
                <c:pt idx="201">
                  <c:v>3.069252361483235E-3</c:v>
                </c:pt>
                <c:pt idx="202">
                  <c:v>-4.1841868304133703E-3</c:v>
                </c:pt>
                <c:pt idx="203">
                  <c:v>-6.7545656966553251E-3</c:v>
                </c:pt>
                <c:pt idx="204">
                  <c:v>-1.0433387748804377E-2</c:v>
                </c:pt>
                <c:pt idx="205">
                  <c:v>-3.5166796045377341E-2</c:v>
                </c:pt>
                <c:pt idx="206">
                  <c:v>3.8434354989358229E-3</c:v>
                </c:pt>
                <c:pt idx="207">
                  <c:v>2.8225825191126939E-3</c:v>
                </c:pt>
                <c:pt idx="208">
                  <c:v>-1.2490180716823703E-3</c:v>
                </c:pt>
                <c:pt idx="209">
                  <c:v>2.9280073618068572E-2</c:v>
                </c:pt>
                <c:pt idx="210">
                  <c:v>1.1135452238227017E-2</c:v>
                </c:pt>
                <c:pt idx="211">
                  <c:v>-7.1108302189163246E-3</c:v>
                </c:pt>
                <c:pt idx="212">
                  <c:v>7.1495486392095589E-3</c:v>
                </c:pt>
                <c:pt idx="213">
                  <c:v>4.6353605865885536E-3</c:v>
                </c:pt>
                <c:pt idx="214">
                  <c:v>3.9779367004702977E-2</c:v>
                </c:pt>
                <c:pt idx="215">
                  <c:v>-1.9648192570985205E-3</c:v>
                </c:pt>
                <c:pt idx="216">
                  <c:v>2.5680477850631312E-2</c:v>
                </c:pt>
                <c:pt idx="217">
                  <c:v>-2.0999283603744651E-3</c:v>
                </c:pt>
                <c:pt idx="218">
                  <c:v>7.9779496481011784E-3</c:v>
                </c:pt>
                <c:pt idx="219">
                  <c:v>-1.2664351337211381E-2</c:v>
                </c:pt>
                <c:pt idx="220">
                  <c:v>-3.4287832242565278E-3</c:v>
                </c:pt>
                <c:pt idx="221">
                  <c:v>6.6280879236198581E-3</c:v>
                </c:pt>
                <c:pt idx="222">
                  <c:v>-5.1274190548633441E-2</c:v>
                </c:pt>
                <c:pt idx="223">
                  <c:v>-2.2995738039161814E-2</c:v>
                </c:pt>
                <c:pt idx="224">
                  <c:v>3.1176754349496051E-2</c:v>
                </c:pt>
                <c:pt idx="225">
                  <c:v>1.7795283267892476E-3</c:v>
                </c:pt>
                <c:pt idx="226">
                  <c:v>-1.4364066906673809E-2</c:v>
                </c:pt>
                <c:pt idx="227">
                  <c:v>1.5233747259448463E-2</c:v>
                </c:pt>
                <c:pt idx="228">
                  <c:v>6.0291086241762307E-3</c:v>
                </c:pt>
                <c:pt idx="229">
                  <c:v>2.214386810430231E-2</c:v>
                </c:pt>
                <c:pt idx="230">
                  <c:v>7.650530571124887E-3</c:v>
                </c:pt>
                <c:pt idx="231">
                  <c:v>-4.6785421060705724E-3</c:v>
                </c:pt>
                <c:pt idx="232">
                  <c:v>-3.265793923204912E-2</c:v>
                </c:pt>
                <c:pt idx="233">
                  <c:v>2.0419746176394381E-3</c:v>
                </c:pt>
                <c:pt idx="234">
                  <c:v>-3.6709788230805565E-3</c:v>
                </c:pt>
                <c:pt idx="235">
                  <c:v>-4.6744151847542721E-3</c:v>
                </c:pt>
                <c:pt idx="236">
                  <c:v>-8.5308755538726425E-3</c:v>
                </c:pt>
                <c:pt idx="237">
                  <c:v>-1.0932025820161116E-2</c:v>
                </c:pt>
                <c:pt idx="238">
                  <c:v>9.3556177808418479E-3</c:v>
                </c:pt>
                <c:pt idx="239">
                  <c:v>3.6488680994934642E-3</c:v>
                </c:pt>
                <c:pt idx="240">
                  <c:v>-7.6681236139007375E-5</c:v>
                </c:pt>
                <c:pt idx="241">
                  <c:v>-1.9552668124098685E-2</c:v>
                </c:pt>
                <c:pt idx="242">
                  <c:v>-2.2298702052488843E-2</c:v>
                </c:pt>
                <c:pt idx="243">
                  <c:v>1.0736970368314249E-2</c:v>
                </c:pt>
                <c:pt idx="244">
                  <c:v>5.5615960336526096E-3</c:v>
                </c:pt>
                <c:pt idx="245">
                  <c:v>-1.7018480043426643E-2</c:v>
                </c:pt>
                <c:pt idx="246">
                  <c:v>-3.9286480676107884E-3</c:v>
                </c:pt>
                <c:pt idx="247">
                  <c:v>-3.9038182186668519E-3</c:v>
                </c:pt>
                <c:pt idx="248">
                  <c:v>1.4014804546515736E-2</c:v>
                </c:pt>
                <c:pt idx="249">
                  <c:v>5.9626738395318244E-4</c:v>
                </c:pt>
              </c:numCache>
            </c:numRef>
          </c:val>
          <c:smooth val="0"/>
          <c:extLst>
            <c:ext xmlns:c16="http://schemas.microsoft.com/office/drawing/2014/chart" uri="{C3380CC4-5D6E-409C-BE32-E72D297353CC}">
              <c16:uniqueId val="{00000002-2001-9642-8E6C-80F19C50D2F9}"/>
            </c:ext>
          </c:extLst>
        </c:ser>
        <c:dLbls>
          <c:showLegendKey val="0"/>
          <c:showVal val="0"/>
          <c:showCatName val="0"/>
          <c:showSerName val="0"/>
          <c:showPercent val="0"/>
          <c:showBubbleSize val="0"/>
        </c:dLbls>
        <c:smooth val="0"/>
        <c:axId val="176091136"/>
        <c:axId val="176092672"/>
      </c:lineChart>
      <c:catAx>
        <c:axId val="176091136"/>
        <c:scaling>
          <c:orientation val="minMax"/>
        </c:scaling>
        <c:delete val="0"/>
        <c:axPos val="b"/>
        <c:numFmt formatCode="General" sourceLinked="0"/>
        <c:majorTickMark val="none"/>
        <c:minorTickMark val="none"/>
        <c:tickLblPos val="nextTo"/>
        <c:crossAx val="176092672"/>
        <c:crosses val="autoZero"/>
        <c:auto val="1"/>
        <c:lblAlgn val="ctr"/>
        <c:lblOffset val="100"/>
        <c:noMultiLvlLbl val="0"/>
      </c:catAx>
      <c:valAx>
        <c:axId val="176092672"/>
        <c:scaling>
          <c:orientation val="minMax"/>
        </c:scaling>
        <c:delete val="0"/>
        <c:axPos val="l"/>
        <c:numFmt formatCode="General" sourceLinked="1"/>
        <c:majorTickMark val="none"/>
        <c:minorTickMark val="none"/>
        <c:tickLblPos val="nextTo"/>
        <c:crossAx val="176091136"/>
        <c:crosses val="autoZero"/>
        <c:crossBetween val="between"/>
      </c:valAx>
    </c:plotArea>
    <c:legend>
      <c:legendPos val="b"/>
      <c:overlay val="0"/>
    </c:legend>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[1]Sheet1!$C$1</c:f>
              <c:strCache>
                <c:ptCount val="1"/>
                <c:pt idx="0">
                  <c:v>F Close</c:v>
                </c:pt>
              </c:strCache>
            </c:strRef>
          </c:tx>
          <c:marker>
            <c:symbol val="none"/>
          </c:marker>
          <c:cat>
            <c:strLit>
              <c:ptCount val="1"/>
              <c:pt idx="0">
                <c:v>A2:A252</c:v>
              </c:pt>
            </c:strLit>
          </c:cat>
          <c:val>
            <c:numRef>
              <c:f>[1]Sheet1!$C$2:$C$252</c:f>
              <c:numCache>
                <c:formatCode>General</c:formatCode>
                <c:ptCount val="251"/>
                <c:pt idx="0">
                  <c:v>10.3</c:v>
                </c:pt>
                <c:pt idx="1">
                  <c:v>9.9</c:v>
                </c:pt>
                <c:pt idx="2">
                  <c:v>9.7200000000000006</c:v>
                </c:pt>
                <c:pt idx="3">
                  <c:v>10.029999999999999</c:v>
                </c:pt>
                <c:pt idx="4">
                  <c:v>9.94</c:v>
                </c:pt>
                <c:pt idx="5">
                  <c:v>10.15</c:v>
                </c:pt>
                <c:pt idx="6">
                  <c:v>9.5399999999999991</c:v>
                </c:pt>
                <c:pt idx="7">
                  <c:v>9.58</c:v>
                </c:pt>
                <c:pt idx="8">
                  <c:v>9.24</c:v>
                </c:pt>
                <c:pt idx="9">
                  <c:v>8.69</c:v>
                </c:pt>
                <c:pt idx="10">
                  <c:v>9.5</c:v>
                </c:pt>
                <c:pt idx="11">
                  <c:v>9.14</c:v>
                </c:pt>
                <c:pt idx="12">
                  <c:v>9.33</c:v>
                </c:pt>
                <c:pt idx="13">
                  <c:v>9.7100000000000009</c:v>
                </c:pt>
                <c:pt idx="14">
                  <c:v>9.4499999999999993</c:v>
                </c:pt>
                <c:pt idx="15">
                  <c:v>9.4</c:v>
                </c:pt>
                <c:pt idx="16">
                  <c:v>9.6300000000000008</c:v>
                </c:pt>
                <c:pt idx="17">
                  <c:v>9.4700000000000006</c:v>
                </c:pt>
                <c:pt idx="18">
                  <c:v>9.65</c:v>
                </c:pt>
                <c:pt idx="19">
                  <c:v>9.7799999999999994</c:v>
                </c:pt>
                <c:pt idx="20">
                  <c:v>10.06</c:v>
                </c:pt>
                <c:pt idx="21">
                  <c:v>10.039999999999999</c:v>
                </c:pt>
                <c:pt idx="22">
                  <c:v>10.02</c:v>
                </c:pt>
                <c:pt idx="23">
                  <c:v>10.15</c:v>
                </c:pt>
                <c:pt idx="24">
                  <c:v>10.01</c:v>
                </c:pt>
                <c:pt idx="25">
                  <c:v>10.18</c:v>
                </c:pt>
                <c:pt idx="26">
                  <c:v>10.28</c:v>
                </c:pt>
                <c:pt idx="27">
                  <c:v>10.17</c:v>
                </c:pt>
                <c:pt idx="28">
                  <c:v>10.44</c:v>
                </c:pt>
                <c:pt idx="29">
                  <c:v>10.28</c:v>
                </c:pt>
                <c:pt idx="30">
                  <c:v>10.28</c:v>
                </c:pt>
                <c:pt idx="31">
                  <c:v>10.43</c:v>
                </c:pt>
                <c:pt idx="32">
                  <c:v>10.55</c:v>
                </c:pt>
                <c:pt idx="33">
                  <c:v>10.6</c:v>
                </c:pt>
                <c:pt idx="34">
                  <c:v>10.65</c:v>
                </c:pt>
                <c:pt idx="35">
                  <c:v>10.75</c:v>
                </c:pt>
                <c:pt idx="36">
                  <c:v>10.8</c:v>
                </c:pt>
                <c:pt idx="37">
                  <c:v>10.75</c:v>
                </c:pt>
                <c:pt idx="38">
                  <c:v>10.72</c:v>
                </c:pt>
                <c:pt idx="39">
                  <c:v>10.48</c:v>
                </c:pt>
                <c:pt idx="40">
                  <c:v>10.44</c:v>
                </c:pt>
                <c:pt idx="41">
                  <c:v>10.36</c:v>
                </c:pt>
                <c:pt idx="42">
                  <c:v>10.31</c:v>
                </c:pt>
                <c:pt idx="43">
                  <c:v>10.17</c:v>
                </c:pt>
                <c:pt idx="44">
                  <c:v>10.220000000000001</c:v>
                </c:pt>
                <c:pt idx="45">
                  <c:v>10.38</c:v>
                </c:pt>
                <c:pt idx="46">
                  <c:v>9.98</c:v>
                </c:pt>
                <c:pt idx="47">
                  <c:v>10.19</c:v>
                </c:pt>
                <c:pt idx="48">
                  <c:v>10.24</c:v>
                </c:pt>
                <c:pt idx="49">
                  <c:v>10.1</c:v>
                </c:pt>
                <c:pt idx="50">
                  <c:v>10.26</c:v>
                </c:pt>
                <c:pt idx="51">
                  <c:v>10.34</c:v>
                </c:pt>
                <c:pt idx="52">
                  <c:v>10.6</c:v>
                </c:pt>
                <c:pt idx="53">
                  <c:v>10.66</c:v>
                </c:pt>
                <c:pt idx="54">
                  <c:v>10.53</c:v>
                </c:pt>
                <c:pt idx="55">
                  <c:v>10.43</c:v>
                </c:pt>
                <c:pt idx="56">
                  <c:v>10.62</c:v>
                </c:pt>
                <c:pt idx="57">
                  <c:v>10.42</c:v>
                </c:pt>
                <c:pt idx="58">
                  <c:v>10.43</c:v>
                </c:pt>
                <c:pt idx="59">
                  <c:v>10.59</c:v>
                </c:pt>
                <c:pt idx="60">
                  <c:v>10.75</c:v>
                </c:pt>
                <c:pt idx="61">
                  <c:v>10.73</c:v>
                </c:pt>
                <c:pt idx="62">
                  <c:v>10.48</c:v>
                </c:pt>
                <c:pt idx="63">
                  <c:v>10.63</c:v>
                </c:pt>
                <c:pt idx="64">
                  <c:v>10.8</c:v>
                </c:pt>
                <c:pt idx="65">
                  <c:v>10.85</c:v>
                </c:pt>
                <c:pt idx="66">
                  <c:v>11.35</c:v>
                </c:pt>
                <c:pt idx="67">
                  <c:v>11.77</c:v>
                </c:pt>
                <c:pt idx="68">
                  <c:v>11.81</c:v>
                </c:pt>
                <c:pt idx="69">
                  <c:v>11.59</c:v>
                </c:pt>
                <c:pt idx="70">
                  <c:v>11.68</c:v>
                </c:pt>
                <c:pt idx="71">
                  <c:v>11.83</c:v>
                </c:pt>
                <c:pt idx="72">
                  <c:v>11.91</c:v>
                </c:pt>
                <c:pt idx="73">
                  <c:v>11.78</c:v>
                </c:pt>
                <c:pt idx="74">
                  <c:v>11.88</c:v>
                </c:pt>
                <c:pt idx="75">
                  <c:v>11.57</c:v>
                </c:pt>
                <c:pt idx="76">
                  <c:v>11.24</c:v>
                </c:pt>
                <c:pt idx="77">
                  <c:v>11.15</c:v>
                </c:pt>
                <c:pt idx="78">
                  <c:v>11.16</c:v>
                </c:pt>
                <c:pt idx="79">
                  <c:v>11.31</c:v>
                </c:pt>
                <c:pt idx="80">
                  <c:v>11.19</c:v>
                </c:pt>
                <c:pt idx="81">
                  <c:v>11.38</c:v>
                </c:pt>
                <c:pt idx="82">
                  <c:v>11.26</c:v>
                </c:pt>
                <c:pt idx="83">
                  <c:v>11.47</c:v>
                </c:pt>
                <c:pt idx="84">
                  <c:v>11.28</c:v>
                </c:pt>
                <c:pt idx="85">
                  <c:v>11.08</c:v>
                </c:pt>
                <c:pt idx="86">
                  <c:v>10.87</c:v>
                </c:pt>
                <c:pt idx="87">
                  <c:v>11.07</c:v>
                </c:pt>
                <c:pt idx="88">
                  <c:v>10.82</c:v>
                </c:pt>
                <c:pt idx="89">
                  <c:v>10.95</c:v>
                </c:pt>
                <c:pt idx="90">
                  <c:v>11.06</c:v>
                </c:pt>
                <c:pt idx="91">
                  <c:v>11.21</c:v>
                </c:pt>
                <c:pt idx="92">
                  <c:v>11.28</c:v>
                </c:pt>
                <c:pt idx="93">
                  <c:v>11.32</c:v>
                </c:pt>
                <c:pt idx="94">
                  <c:v>11.14</c:v>
                </c:pt>
                <c:pt idx="95">
                  <c:v>11.25</c:v>
                </c:pt>
                <c:pt idx="96">
                  <c:v>11.44</c:v>
                </c:pt>
                <c:pt idx="97">
                  <c:v>11.44</c:v>
                </c:pt>
                <c:pt idx="98">
                  <c:v>11.44</c:v>
                </c:pt>
                <c:pt idx="99">
                  <c:v>11.46</c:v>
                </c:pt>
                <c:pt idx="100">
                  <c:v>11.58</c:v>
                </c:pt>
                <c:pt idx="101">
                  <c:v>11.49</c:v>
                </c:pt>
                <c:pt idx="102">
                  <c:v>11.33</c:v>
                </c:pt>
                <c:pt idx="103">
                  <c:v>11.74</c:v>
                </c:pt>
                <c:pt idx="104">
                  <c:v>11.82</c:v>
                </c:pt>
                <c:pt idx="105">
                  <c:v>11.84</c:v>
                </c:pt>
                <c:pt idx="106">
                  <c:v>11.91</c:v>
                </c:pt>
                <c:pt idx="107">
                  <c:v>11.71</c:v>
                </c:pt>
                <c:pt idx="108">
                  <c:v>11.77</c:v>
                </c:pt>
                <c:pt idx="109">
                  <c:v>11.72</c:v>
                </c:pt>
                <c:pt idx="110">
                  <c:v>11.62</c:v>
                </c:pt>
                <c:pt idx="111">
                  <c:v>11.68</c:v>
                </c:pt>
                <c:pt idx="112">
                  <c:v>11.74</c:v>
                </c:pt>
                <c:pt idx="113">
                  <c:v>11.69</c:v>
                </c:pt>
                <c:pt idx="114">
                  <c:v>11.49</c:v>
                </c:pt>
                <c:pt idx="115">
                  <c:v>11.42</c:v>
                </c:pt>
                <c:pt idx="116">
                  <c:v>11.76</c:v>
                </c:pt>
                <c:pt idx="117">
                  <c:v>11.68</c:v>
                </c:pt>
                <c:pt idx="118">
                  <c:v>11.68</c:v>
                </c:pt>
                <c:pt idx="119">
                  <c:v>11.61</c:v>
                </c:pt>
                <c:pt idx="120">
                  <c:v>11.66</c:v>
                </c:pt>
                <c:pt idx="121">
                  <c:v>11.74</c:v>
                </c:pt>
                <c:pt idx="122">
                  <c:v>11.62</c:v>
                </c:pt>
                <c:pt idx="123">
                  <c:v>11.66</c:v>
                </c:pt>
                <c:pt idx="124">
                  <c:v>11.73</c:v>
                </c:pt>
                <c:pt idx="125">
                  <c:v>11.63</c:v>
                </c:pt>
                <c:pt idx="126">
                  <c:v>11.62</c:v>
                </c:pt>
                <c:pt idx="127">
                  <c:v>12.01</c:v>
                </c:pt>
                <c:pt idx="128">
                  <c:v>12.09</c:v>
                </c:pt>
                <c:pt idx="129">
                  <c:v>11.96</c:v>
                </c:pt>
                <c:pt idx="130">
                  <c:v>12.27</c:v>
                </c:pt>
                <c:pt idx="131">
                  <c:v>12.22</c:v>
                </c:pt>
                <c:pt idx="132">
                  <c:v>12.67</c:v>
                </c:pt>
                <c:pt idx="133">
                  <c:v>12.7</c:v>
                </c:pt>
                <c:pt idx="134">
                  <c:v>11.92</c:v>
                </c:pt>
                <c:pt idx="135">
                  <c:v>11.74</c:v>
                </c:pt>
                <c:pt idx="136">
                  <c:v>11.5</c:v>
                </c:pt>
                <c:pt idx="137">
                  <c:v>11.41</c:v>
                </c:pt>
                <c:pt idx="138">
                  <c:v>11.54</c:v>
                </c:pt>
                <c:pt idx="139">
                  <c:v>11.65</c:v>
                </c:pt>
                <c:pt idx="140">
                  <c:v>11.76</c:v>
                </c:pt>
                <c:pt idx="141">
                  <c:v>11.74</c:v>
                </c:pt>
                <c:pt idx="142">
                  <c:v>11.92</c:v>
                </c:pt>
                <c:pt idx="143">
                  <c:v>11.99</c:v>
                </c:pt>
                <c:pt idx="144">
                  <c:v>12.56</c:v>
                </c:pt>
                <c:pt idx="145">
                  <c:v>12.43</c:v>
                </c:pt>
                <c:pt idx="146">
                  <c:v>12.34</c:v>
                </c:pt>
                <c:pt idx="147">
                  <c:v>13.84</c:v>
                </c:pt>
                <c:pt idx="148">
                  <c:v>13.26</c:v>
                </c:pt>
                <c:pt idx="149">
                  <c:v>13.13</c:v>
                </c:pt>
                <c:pt idx="150">
                  <c:v>13.24</c:v>
                </c:pt>
                <c:pt idx="151">
                  <c:v>13.06</c:v>
                </c:pt>
                <c:pt idx="152">
                  <c:v>13.13</c:v>
                </c:pt>
                <c:pt idx="153">
                  <c:v>13.01</c:v>
                </c:pt>
                <c:pt idx="154">
                  <c:v>12.79</c:v>
                </c:pt>
                <c:pt idx="155">
                  <c:v>13.11</c:v>
                </c:pt>
                <c:pt idx="156">
                  <c:v>13.12</c:v>
                </c:pt>
                <c:pt idx="157">
                  <c:v>13.21</c:v>
                </c:pt>
                <c:pt idx="158">
                  <c:v>13.16</c:v>
                </c:pt>
                <c:pt idx="159">
                  <c:v>13.3</c:v>
                </c:pt>
                <c:pt idx="160">
                  <c:v>13.45</c:v>
                </c:pt>
                <c:pt idx="161">
                  <c:v>13.28</c:v>
                </c:pt>
                <c:pt idx="162">
                  <c:v>13.19</c:v>
                </c:pt>
                <c:pt idx="163">
                  <c:v>12.88</c:v>
                </c:pt>
                <c:pt idx="164">
                  <c:v>13.02</c:v>
                </c:pt>
                <c:pt idx="165">
                  <c:v>12.9</c:v>
                </c:pt>
                <c:pt idx="166">
                  <c:v>12.41</c:v>
                </c:pt>
                <c:pt idx="167">
                  <c:v>12.83</c:v>
                </c:pt>
                <c:pt idx="168">
                  <c:v>12.96</c:v>
                </c:pt>
                <c:pt idx="169">
                  <c:v>13.17</c:v>
                </c:pt>
                <c:pt idx="170">
                  <c:v>13.19</c:v>
                </c:pt>
                <c:pt idx="171">
                  <c:v>13.28</c:v>
                </c:pt>
                <c:pt idx="172">
                  <c:v>13.16</c:v>
                </c:pt>
                <c:pt idx="173">
                  <c:v>12.96</c:v>
                </c:pt>
                <c:pt idx="174">
                  <c:v>13.09</c:v>
                </c:pt>
                <c:pt idx="175">
                  <c:v>13.14</c:v>
                </c:pt>
                <c:pt idx="176">
                  <c:v>13.03</c:v>
                </c:pt>
                <c:pt idx="177">
                  <c:v>13.14</c:v>
                </c:pt>
                <c:pt idx="178">
                  <c:v>13.08</c:v>
                </c:pt>
                <c:pt idx="179">
                  <c:v>13.41</c:v>
                </c:pt>
                <c:pt idx="180">
                  <c:v>13.63</c:v>
                </c:pt>
                <c:pt idx="181">
                  <c:v>13.76</c:v>
                </c:pt>
                <c:pt idx="182">
                  <c:v>13.65</c:v>
                </c:pt>
                <c:pt idx="183">
                  <c:v>13.67</c:v>
                </c:pt>
                <c:pt idx="184">
                  <c:v>13.31</c:v>
                </c:pt>
                <c:pt idx="185">
                  <c:v>13.32</c:v>
                </c:pt>
                <c:pt idx="186">
                  <c:v>13.47</c:v>
                </c:pt>
                <c:pt idx="187">
                  <c:v>13.46</c:v>
                </c:pt>
                <c:pt idx="188">
                  <c:v>13.29</c:v>
                </c:pt>
                <c:pt idx="189">
                  <c:v>13.36</c:v>
                </c:pt>
                <c:pt idx="190">
                  <c:v>13.31</c:v>
                </c:pt>
                <c:pt idx="191">
                  <c:v>13.28</c:v>
                </c:pt>
                <c:pt idx="192">
                  <c:v>13.23</c:v>
                </c:pt>
                <c:pt idx="193">
                  <c:v>13.12</c:v>
                </c:pt>
                <c:pt idx="194">
                  <c:v>13.34</c:v>
                </c:pt>
                <c:pt idx="195">
                  <c:v>13.47</c:v>
                </c:pt>
                <c:pt idx="196">
                  <c:v>13.8</c:v>
                </c:pt>
                <c:pt idx="197">
                  <c:v>13.74</c:v>
                </c:pt>
                <c:pt idx="198">
                  <c:v>14.4</c:v>
                </c:pt>
                <c:pt idx="199">
                  <c:v>14.2</c:v>
                </c:pt>
                <c:pt idx="200">
                  <c:v>14.03</c:v>
                </c:pt>
                <c:pt idx="201">
                  <c:v>13.98</c:v>
                </c:pt>
                <c:pt idx="202">
                  <c:v>13.84</c:v>
                </c:pt>
                <c:pt idx="203">
                  <c:v>13.81</c:v>
                </c:pt>
                <c:pt idx="204">
                  <c:v>13.6</c:v>
                </c:pt>
                <c:pt idx="205">
                  <c:v>13.28</c:v>
                </c:pt>
                <c:pt idx="206">
                  <c:v>13.77</c:v>
                </c:pt>
                <c:pt idx="207">
                  <c:v>13.71</c:v>
                </c:pt>
                <c:pt idx="208">
                  <c:v>13.56</c:v>
                </c:pt>
                <c:pt idx="209">
                  <c:v>13.44</c:v>
                </c:pt>
                <c:pt idx="210">
                  <c:v>13.93</c:v>
                </c:pt>
                <c:pt idx="211">
                  <c:v>13.82</c:v>
                </c:pt>
                <c:pt idx="212">
                  <c:v>14</c:v>
                </c:pt>
                <c:pt idx="213">
                  <c:v>13.88</c:v>
                </c:pt>
                <c:pt idx="214">
                  <c:v>13.81</c:v>
                </c:pt>
                <c:pt idx="215">
                  <c:v>13.73</c:v>
                </c:pt>
                <c:pt idx="216">
                  <c:v>13.82</c:v>
                </c:pt>
                <c:pt idx="217">
                  <c:v>13.72</c:v>
                </c:pt>
                <c:pt idx="218">
                  <c:v>13.8</c:v>
                </c:pt>
                <c:pt idx="219">
                  <c:v>13.59</c:v>
                </c:pt>
                <c:pt idx="220">
                  <c:v>13.57</c:v>
                </c:pt>
                <c:pt idx="221">
                  <c:v>13.85</c:v>
                </c:pt>
                <c:pt idx="222">
                  <c:v>14</c:v>
                </c:pt>
                <c:pt idx="223">
                  <c:v>14.12</c:v>
                </c:pt>
                <c:pt idx="224">
                  <c:v>14.13</c:v>
                </c:pt>
                <c:pt idx="225">
                  <c:v>13.85</c:v>
                </c:pt>
                <c:pt idx="226">
                  <c:v>13.78</c:v>
                </c:pt>
                <c:pt idx="227">
                  <c:v>14.01</c:v>
                </c:pt>
                <c:pt idx="228">
                  <c:v>13.64</c:v>
                </c:pt>
                <c:pt idx="229">
                  <c:v>14.2</c:v>
                </c:pt>
                <c:pt idx="230">
                  <c:v>14.43</c:v>
                </c:pt>
                <c:pt idx="231">
                  <c:v>14.41</c:v>
                </c:pt>
                <c:pt idx="232">
                  <c:v>14.09</c:v>
                </c:pt>
                <c:pt idx="233">
                  <c:v>13.39</c:v>
                </c:pt>
                <c:pt idx="234">
                  <c:v>12.7</c:v>
                </c:pt>
                <c:pt idx="235">
                  <c:v>12.81</c:v>
                </c:pt>
                <c:pt idx="236">
                  <c:v>12.34</c:v>
                </c:pt>
                <c:pt idx="237">
                  <c:v>12.15</c:v>
                </c:pt>
                <c:pt idx="238">
                  <c:v>12.19</c:v>
                </c:pt>
                <c:pt idx="239">
                  <c:v>12.24</c:v>
                </c:pt>
                <c:pt idx="240">
                  <c:v>12.11</c:v>
                </c:pt>
                <c:pt idx="241">
                  <c:v>12.04</c:v>
                </c:pt>
                <c:pt idx="242">
                  <c:v>11.67</c:v>
                </c:pt>
                <c:pt idx="243">
                  <c:v>11.71</c:v>
                </c:pt>
                <c:pt idx="244">
                  <c:v>11.94</c:v>
                </c:pt>
                <c:pt idx="245">
                  <c:v>11.79</c:v>
                </c:pt>
                <c:pt idx="246">
                  <c:v>11.64</c:v>
                </c:pt>
                <c:pt idx="247">
                  <c:v>11.52</c:v>
                </c:pt>
                <c:pt idx="248">
                  <c:v>11.76</c:v>
                </c:pt>
                <c:pt idx="249">
                  <c:v>11.84</c:v>
                </c:pt>
                <c:pt idx="250">
                  <c:v>11.67</c:v>
                </c:pt>
              </c:numCache>
            </c:numRef>
          </c:val>
          <c:smooth val="0"/>
          <c:extLst>
            <c:ext xmlns:c16="http://schemas.microsoft.com/office/drawing/2014/chart" uri="{C3380CC4-5D6E-409C-BE32-E72D297353CC}">
              <c16:uniqueId val="{00000000-FF90-7648-81D1-5622F6E0E97A}"/>
            </c:ext>
          </c:extLst>
        </c:ser>
        <c:ser>
          <c:idx val="1"/>
          <c:order val="1"/>
          <c:tx>
            <c:strRef>
              <c:f>[1]Sheet1!$I$1</c:f>
              <c:strCache>
                <c:ptCount val="1"/>
                <c:pt idx="0">
                  <c:v>F Sim</c:v>
                </c:pt>
              </c:strCache>
            </c:strRef>
          </c:tx>
          <c:marker>
            <c:symbol val="none"/>
          </c:marker>
          <c:cat>
            <c:strLit>
              <c:ptCount val="1"/>
              <c:pt idx="0">
                <c:v>A2:A252</c:v>
              </c:pt>
            </c:strLit>
          </c:cat>
          <c:val>
            <c:numRef>
              <c:f>[1]Sheet1!$I$2:$I$252</c:f>
              <c:numCache>
                <c:formatCode>General</c:formatCode>
                <c:ptCount val="251"/>
                <c:pt idx="0">
                  <c:v>10.3</c:v>
                </c:pt>
                <c:pt idx="1">
                  <c:v>10.060208311109911</c:v>
                </c:pt>
                <c:pt idx="2">
                  <c:v>10.129474009573032</c:v>
                </c:pt>
                <c:pt idx="3">
                  <c:v>9.9207175731480479</c:v>
                </c:pt>
                <c:pt idx="4">
                  <c:v>9.8852380944987388</c:v>
                </c:pt>
                <c:pt idx="5">
                  <c:v>10.0315586166206</c:v>
                </c:pt>
                <c:pt idx="6">
                  <c:v>9.7643535045548866</c:v>
                </c:pt>
                <c:pt idx="7">
                  <c:v>9.8923629080357909</c:v>
                </c:pt>
                <c:pt idx="8">
                  <c:v>9.630615375676145</c:v>
                </c:pt>
                <c:pt idx="9">
                  <c:v>9.5644201613535991</c:v>
                </c:pt>
                <c:pt idx="10">
                  <c:v>9.7678488089513031</c:v>
                </c:pt>
                <c:pt idx="11">
                  <c:v>9.9404777685292274</c:v>
                </c:pt>
                <c:pt idx="12">
                  <c:v>9.8507416994061483</c:v>
                </c:pt>
                <c:pt idx="13">
                  <c:v>10.014177884906969</c:v>
                </c:pt>
                <c:pt idx="14">
                  <c:v>10.310555179919332</c:v>
                </c:pt>
                <c:pt idx="15">
                  <c:v>9.8246598828830631</c:v>
                </c:pt>
                <c:pt idx="16">
                  <c:v>9.9800735318706071</c:v>
                </c:pt>
                <c:pt idx="17">
                  <c:v>10.16526094661878</c:v>
                </c:pt>
                <c:pt idx="18">
                  <c:v>10.22928442491949</c:v>
                </c:pt>
                <c:pt idx="19">
                  <c:v>10.717080843071511</c:v>
                </c:pt>
                <c:pt idx="20">
                  <c:v>10.802473392089826</c:v>
                </c:pt>
                <c:pt idx="21">
                  <c:v>10.652606280519157</c:v>
                </c:pt>
                <c:pt idx="22">
                  <c:v>10.737970011946507</c:v>
                </c:pt>
                <c:pt idx="23">
                  <c:v>10.786331171395929</c:v>
                </c:pt>
                <c:pt idx="24">
                  <c:v>10.666033902466154</c:v>
                </c:pt>
                <c:pt idx="25">
                  <c:v>10.818625838397113</c:v>
                </c:pt>
                <c:pt idx="26">
                  <c:v>10.64909548735069</c:v>
                </c:pt>
                <c:pt idx="27">
                  <c:v>10.487275207919716</c:v>
                </c:pt>
                <c:pt idx="28">
                  <c:v>10.58258426216403</c:v>
                </c:pt>
                <c:pt idx="29">
                  <c:v>10.318370656200317</c:v>
                </c:pt>
                <c:pt idx="30">
                  <c:v>10.312374785403305</c:v>
                </c:pt>
                <c:pt idx="31">
                  <c:v>10.130139516016728</c:v>
                </c:pt>
                <c:pt idx="32">
                  <c:v>10.178239866469145</c:v>
                </c:pt>
                <c:pt idx="33">
                  <c:v>10.298950593468746</c:v>
                </c:pt>
                <c:pt idx="34">
                  <c:v>10.378421259605437</c:v>
                </c:pt>
                <c:pt idx="35">
                  <c:v>10.072508607609844</c:v>
                </c:pt>
                <c:pt idx="36">
                  <c:v>9.8792847369627008</c:v>
                </c:pt>
                <c:pt idx="37">
                  <c:v>9.983891572369247</c:v>
                </c:pt>
                <c:pt idx="38">
                  <c:v>9.716666931303811</c:v>
                </c:pt>
                <c:pt idx="39">
                  <c:v>9.4101549494166665</c:v>
                </c:pt>
                <c:pt idx="40">
                  <c:v>9.5088132384046098</c:v>
                </c:pt>
                <c:pt idx="41">
                  <c:v>9.6122991406697746</c:v>
                </c:pt>
                <c:pt idx="42">
                  <c:v>9.6422873613173046</c:v>
                </c:pt>
                <c:pt idx="43">
                  <c:v>10.144791727757655</c:v>
                </c:pt>
                <c:pt idx="44">
                  <c:v>10.164662510968551</c:v>
                </c:pt>
                <c:pt idx="45">
                  <c:v>9.8740558845305006</c:v>
                </c:pt>
                <c:pt idx="46">
                  <c:v>10.00813864793516</c:v>
                </c:pt>
                <c:pt idx="47">
                  <c:v>10.01617406321777</c:v>
                </c:pt>
                <c:pt idx="48">
                  <c:v>10.234437566032312</c:v>
                </c:pt>
                <c:pt idx="49">
                  <c:v>10.393503394240117</c:v>
                </c:pt>
                <c:pt idx="50">
                  <c:v>10.392350726773932</c:v>
                </c:pt>
                <c:pt idx="51">
                  <c:v>10.574857004627612</c:v>
                </c:pt>
                <c:pt idx="52">
                  <c:v>10.423238973478764</c:v>
                </c:pt>
                <c:pt idx="53">
                  <c:v>10.25619281600774</c:v>
                </c:pt>
                <c:pt idx="54">
                  <c:v>10.246329661490041</c:v>
                </c:pt>
                <c:pt idx="55">
                  <c:v>10.311144375704766</c:v>
                </c:pt>
                <c:pt idx="56">
                  <c:v>9.9935526079662829</c:v>
                </c:pt>
                <c:pt idx="57">
                  <c:v>9.8407671061119402</c:v>
                </c:pt>
                <c:pt idx="58">
                  <c:v>9.8563805611423412</c:v>
                </c:pt>
                <c:pt idx="59">
                  <c:v>9.7240707125570633</c:v>
                </c:pt>
                <c:pt idx="60">
                  <c:v>9.834870610483831</c:v>
                </c:pt>
                <c:pt idx="61">
                  <c:v>9.9529853897919391</c:v>
                </c:pt>
                <c:pt idx="62">
                  <c:v>9.9353151433129074</c:v>
                </c:pt>
                <c:pt idx="63">
                  <c:v>9.9402034543345028</c:v>
                </c:pt>
                <c:pt idx="64">
                  <c:v>9.9979433721249062</c:v>
                </c:pt>
                <c:pt idx="65">
                  <c:v>9.8150058361251435</c:v>
                </c:pt>
                <c:pt idx="66">
                  <c:v>10.206171828106685</c:v>
                </c:pt>
                <c:pt idx="67">
                  <c:v>10.266584066845754</c:v>
                </c:pt>
                <c:pt idx="68">
                  <c:v>10.198341196258509</c:v>
                </c:pt>
                <c:pt idx="69">
                  <c:v>9.8568960145350992</c:v>
                </c:pt>
                <c:pt idx="70">
                  <c:v>10.062533409102139</c:v>
                </c:pt>
                <c:pt idx="71">
                  <c:v>9.7863403230186918</c:v>
                </c:pt>
                <c:pt idx="72">
                  <c:v>9.7919379362367653</c:v>
                </c:pt>
                <c:pt idx="73">
                  <c:v>9.6376085880474811</c:v>
                </c:pt>
                <c:pt idx="74">
                  <c:v>9.935771386603351</c:v>
                </c:pt>
                <c:pt idx="75">
                  <c:v>9.8689317335654483</c:v>
                </c:pt>
                <c:pt idx="76">
                  <c:v>9.8530521993518629</c:v>
                </c:pt>
                <c:pt idx="77">
                  <c:v>9.7054485220524747</c:v>
                </c:pt>
                <c:pt idx="78">
                  <c:v>9.7190952137237563</c:v>
                </c:pt>
                <c:pt idx="79">
                  <c:v>9.4606816976671926</c:v>
                </c:pt>
                <c:pt idx="80">
                  <c:v>9.4845512080659695</c:v>
                </c:pt>
                <c:pt idx="81">
                  <c:v>9.5251102492598729</c:v>
                </c:pt>
                <c:pt idx="82">
                  <c:v>9.401330115986589</c:v>
                </c:pt>
                <c:pt idx="83">
                  <c:v>9.4616002767420522</c:v>
                </c:pt>
                <c:pt idx="84">
                  <c:v>9.4637365227372463</c:v>
                </c:pt>
                <c:pt idx="85">
                  <c:v>9.7032993517063062</c:v>
                </c:pt>
                <c:pt idx="86">
                  <c:v>9.8589729184379387</c:v>
                </c:pt>
                <c:pt idx="87">
                  <c:v>9.7719068697159983</c:v>
                </c:pt>
                <c:pt idx="88">
                  <c:v>9.5440621011349531</c:v>
                </c:pt>
                <c:pt idx="89">
                  <c:v>9.347532650750674</c:v>
                </c:pt>
                <c:pt idx="90">
                  <c:v>9.1739736810843393</c:v>
                </c:pt>
                <c:pt idx="91">
                  <c:v>8.9712607675324083</c:v>
                </c:pt>
                <c:pt idx="92">
                  <c:v>9.0239175892954471</c:v>
                </c:pt>
                <c:pt idx="93">
                  <c:v>8.923314405397381</c:v>
                </c:pt>
                <c:pt idx="94">
                  <c:v>9.122248595205896</c:v>
                </c:pt>
                <c:pt idx="95">
                  <c:v>8.9156528761007525</c:v>
                </c:pt>
                <c:pt idx="96">
                  <c:v>9.2167985315702818</c:v>
                </c:pt>
                <c:pt idx="97">
                  <c:v>9.3090485133480474</c:v>
                </c:pt>
                <c:pt idx="98">
                  <c:v>9.1792239015493777</c:v>
                </c:pt>
                <c:pt idx="99">
                  <c:v>9.2284994283911335</c:v>
                </c:pt>
                <c:pt idx="100">
                  <c:v>9.3722499492315556</c:v>
                </c:pt>
                <c:pt idx="101">
                  <c:v>9.6216557905277433</c:v>
                </c:pt>
                <c:pt idx="102">
                  <c:v>9.739706240773403</c:v>
                </c:pt>
                <c:pt idx="103">
                  <c:v>9.5685532712464827</c:v>
                </c:pt>
                <c:pt idx="104">
                  <c:v>9.4897143456145781</c:v>
                </c:pt>
                <c:pt idx="105">
                  <c:v>9.9831670491902642</c:v>
                </c:pt>
                <c:pt idx="106">
                  <c:v>9.8363780644834069</c:v>
                </c:pt>
                <c:pt idx="107">
                  <c:v>9.9083395422395899</c:v>
                </c:pt>
                <c:pt idx="108">
                  <c:v>9.954983376735985</c:v>
                </c:pt>
                <c:pt idx="109">
                  <c:v>9.9037927568800885</c:v>
                </c:pt>
                <c:pt idx="110">
                  <c:v>9.7464857047999001</c:v>
                </c:pt>
                <c:pt idx="111">
                  <c:v>9.556158050020974</c:v>
                </c:pt>
                <c:pt idx="112">
                  <c:v>9.4603377233708112</c:v>
                </c:pt>
                <c:pt idx="113">
                  <c:v>9.6344555965523924</c:v>
                </c:pt>
                <c:pt idx="114">
                  <c:v>9.4769575001875257</c:v>
                </c:pt>
                <c:pt idx="115">
                  <c:v>9.3524047139908877</c:v>
                </c:pt>
                <c:pt idx="116">
                  <c:v>9.4506992852544176</c:v>
                </c:pt>
                <c:pt idx="117">
                  <c:v>9.3928015072703168</c:v>
                </c:pt>
                <c:pt idx="118">
                  <c:v>9.4696487686555564</c:v>
                </c:pt>
                <c:pt idx="119">
                  <c:v>9.522855145581719</c:v>
                </c:pt>
                <c:pt idx="120">
                  <c:v>9.4950173767925907</c:v>
                </c:pt>
                <c:pt idx="121">
                  <c:v>9.8033896229004984</c:v>
                </c:pt>
                <c:pt idx="122">
                  <c:v>9.8559326812069443</c:v>
                </c:pt>
                <c:pt idx="123">
                  <c:v>9.8020592729582052</c:v>
                </c:pt>
                <c:pt idx="124">
                  <c:v>9.6490592308707388</c:v>
                </c:pt>
                <c:pt idx="125">
                  <c:v>9.5822005275809179</c:v>
                </c:pt>
                <c:pt idx="126">
                  <c:v>9.6775697228817741</c:v>
                </c:pt>
                <c:pt idx="127">
                  <c:v>9.6609839970697848</c:v>
                </c:pt>
                <c:pt idx="128">
                  <c:v>9.5860876756753317</c:v>
                </c:pt>
                <c:pt idx="129">
                  <c:v>9.6530601860321319</c:v>
                </c:pt>
                <c:pt idx="130">
                  <c:v>9.7859098415206933</c:v>
                </c:pt>
                <c:pt idx="131">
                  <c:v>9.9264042877749326</c:v>
                </c:pt>
                <c:pt idx="132">
                  <c:v>9.8326016494381232</c:v>
                </c:pt>
                <c:pt idx="133">
                  <c:v>9.9601378124304905</c:v>
                </c:pt>
                <c:pt idx="134">
                  <c:v>9.7246325420647679</c:v>
                </c:pt>
                <c:pt idx="135">
                  <c:v>9.691161921954885</c:v>
                </c:pt>
                <c:pt idx="136">
                  <c:v>9.6263296741924442</c:v>
                </c:pt>
                <c:pt idx="137">
                  <c:v>9.6341914879612904</c:v>
                </c:pt>
                <c:pt idx="138">
                  <c:v>9.3527328202066613</c:v>
                </c:pt>
                <c:pt idx="139">
                  <c:v>9.4248328878586065</c:v>
                </c:pt>
                <c:pt idx="140">
                  <c:v>9.6201274040633766</c:v>
                </c:pt>
                <c:pt idx="141">
                  <c:v>9.5226352278492268</c:v>
                </c:pt>
                <c:pt idx="142">
                  <c:v>9.5857881313369386</c:v>
                </c:pt>
                <c:pt idx="143">
                  <c:v>9.3411973592382651</c:v>
                </c:pt>
                <c:pt idx="144">
                  <c:v>9.4381499179061397</c:v>
                </c:pt>
                <c:pt idx="145">
                  <c:v>9.3035974296621333</c:v>
                </c:pt>
                <c:pt idx="146">
                  <c:v>9.2600076031844125</c:v>
                </c:pt>
                <c:pt idx="147">
                  <c:v>9.2566112134837137</c:v>
                </c:pt>
                <c:pt idx="148">
                  <c:v>8.7654032343695114</c:v>
                </c:pt>
                <c:pt idx="149">
                  <c:v>8.8229864288633273</c:v>
                </c:pt>
                <c:pt idx="150">
                  <c:v>9.012075082191954</c:v>
                </c:pt>
                <c:pt idx="151">
                  <c:v>9.0705726224805847</c:v>
                </c:pt>
                <c:pt idx="152">
                  <c:v>9.1871929659882774</c:v>
                </c:pt>
                <c:pt idx="153">
                  <c:v>9.2365497115151847</c:v>
                </c:pt>
                <c:pt idx="154">
                  <c:v>9.225306346856657</c:v>
                </c:pt>
                <c:pt idx="155">
                  <c:v>9.5986796510431738</c:v>
                </c:pt>
                <c:pt idx="156">
                  <c:v>9.5941584921532908</c:v>
                </c:pt>
                <c:pt idx="157">
                  <c:v>9.2902558883316946</c:v>
                </c:pt>
                <c:pt idx="158">
                  <c:v>9.4929604270008952</c:v>
                </c:pt>
                <c:pt idx="159">
                  <c:v>9.5491787962975625</c:v>
                </c:pt>
                <c:pt idx="160">
                  <c:v>9.6773923608045642</c:v>
                </c:pt>
                <c:pt idx="161">
                  <c:v>9.9333699513256288</c:v>
                </c:pt>
                <c:pt idx="162">
                  <c:v>9.9533964446395462</c:v>
                </c:pt>
                <c:pt idx="163">
                  <c:v>10.140548932967762</c:v>
                </c:pt>
                <c:pt idx="164">
                  <c:v>9.9446108479296331</c:v>
                </c:pt>
                <c:pt idx="165">
                  <c:v>9.6824841478015262</c:v>
                </c:pt>
                <c:pt idx="166">
                  <c:v>9.8872773172936395</c:v>
                </c:pt>
                <c:pt idx="167">
                  <c:v>10.063342373017349</c:v>
                </c:pt>
                <c:pt idx="168">
                  <c:v>10.363087996287891</c:v>
                </c:pt>
                <c:pt idx="169">
                  <c:v>10.079093721091004</c:v>
                </c:pt>
                <c:pt idx="170">
                  <c:v>9.9507739430750792</c:v>
                </c:pt>
                <c:pt idx="171">
                  <c:v>9.9860469446754223</c:v>
                </c:pt>
                <c:pt idx="172">
                  <c:v>9.9970277032753128</c:v>
                </c:pt>
                <c:pt idx="173">
                  <c:v>9.8445172006376414</c:v>
                </c:pt>
                <c:pt idx="174">
                  <c:v>9.8365352677079123</c:v>
                </c:pt>
                <c:pt idx="175">
                  <c:v>10.126087222610915</c:v>
                </c:pt>
                <c:pt idx="176">
                  <c:v>10.280570291375154</c:v>
                </c:pt>
                <c:pt idx="177">
                  <c:v>10.032236679112685</c:v>
                </c:pt>
                <c:pt idx="178">
                  <c:v>10.257018610755336</c:v>
                </c:pt>
                <c:pt idx="179">
                  <c:v>10.279473137894088</c:v>
                </c:pt>
                <c:pt idx="180">
                  <c:v>10.314020285730011</c:v>
                </c:pt>
                <c:pt idx="181">
                  <c:v>10.202969462551811</c:v>
                </c:pt>
                <c:pt idx="182">
                  <c:v>9.9763650189058151</c:v>
                </c:pt>
                <c:pt idx="183">
                  <c:v>10.347330303011262</c:v>
                </c:pt>
                <c:pt idx="184">
                  <c:v>10.484888050946147</c:v>
                </c:pt>
                <c:pt idx="185">
                  <c:v>10.410013914001551</c:v>
                </c:pt>
                <c:pt idx="186">
                  <c:v>10.88065672496764</c:v>
                </c:pt>
                <c:pt idx="187">
                  <c:v>10.798211488976875</c:v>
                </c:pt>
                <c:pt idx="188">
                  <c:v>10.643343865264189</c:v>
                </c:pt>
                <c:pt idx="189">
                  <c:v>10.685667507683604</c:v>
                </c:pt>
                <c:pt idx="190">
                  <c:v>10.79458491564745</c:v>
                </c:pt>
                <c:pt idx="191">
                  <c:v>10.767489814921648</c:v>
                </c:pt>
                <c:pt idx="192">
                  <c:v>10.619201281426818</c:v>
                </c:pt>
                <c:pt idx="193">
                  <c:v>10.344017344192997</c:v>
                </c:pt>
                <c:pt idx="194">
                  <c:v>10.180810996245221</c:v>
                </c:pt>
                <c:pt idx="195">
                  <c:v>10.20587646549289</c:v>
                </c:pt>
                <c:pt idx="196">
                  <c:v>10.650605056805061</c:v>
                </c:pt>
                <c:pt idx="197">
                  <c:v>10.505537996659992</c:v>
                </c:pt>
                <c:pt idx="198">
                  <c:v>10.306807116115703</c:v>
                </c:pt>
                <c:pt idx="199">
                  <c:v>10.594790307503731</c:v>
                </c:pt>
                <c:pt idx="200">
                  <c:v>10.462300685761507</c:v>
                </c:pt>
                <c:pt idx="201">
                  <c:v>10.458293545288367</c:v>
                </c:pt>
                <c:pt idx="202">
                  <c:v>10.409876092490563</c:v>
                </c:pt>
                <c:pt idx="203">
                  <c:v>10.352041495251546</c:v>
                </c:pt>
                <c:pt idx="204">
                  <c:v>10.750397983889641</c:v>
                </c:pt>
                <c:pt idx="205">
                  <c:v>10.75656270089233</c:v>
                </c:pt>
                <c:pt idx="206">
                  <c:v>10.963523133490732</c:v>
                </c:pt>
                <c:pt idx="207">
                  <c:v>11.23833709292518</c:v>
                </c:pt>
                <c:pt idx="208">
                  <c:v>11.514818692974757</c:v>
                </c:pt>
                <c:pt idx="209">
                  <c:v>11.471171506316091</c:v>
                </c:pt>
                <c:pt idx="210">
                  <c:v>11.829499215043633</c:v>
                </c:pt>
                <c:pt idx="211">
                  <c:v>12.085944519494651</c:v>
                </c:pt>
                <c:pt idx="212">
                  <c:v>12.211532096492643</c:v>
                </c:pt>
                <c:pt idx="213">
                  <c:v>11.841782507276921</c:v>
                </c:pt>
                <c:pt idx="214">
                  <c:v>11.787913702895333</c:v>
                </c:pt>
                <c:pt idx="215">
                  <c:v>11.684691442340611</c:v>
                </c:pt>
                <c:pt idx="216">
                  <c:v>11.731346669932401</c:v>
                </c:pt>
                <c:pt idx="217">
                  <c:v>11.909352085741791</c:v>
                </c:pt>
                <c:pt idx="218">
                  <c:v>11.97483480698636</c:v>
                </c:pt>
                <c:pt idx="219">
                  <c:v>12.15145178540846</c:v>
                </c:pt>
                <c:pt idx="220">
                  <c:v>11.953671865725662</c:v>
                </c:pt>
                <c:pt idx="221">
                  <c:v>11.913970496265923</c:v>
                </c:pt>
                <c:pt idx="222">
                  <c:v>12.321754109531643</c:v>
                </c:pt>
                <c:pt idx="223">
                  <c:v>12.363136642871666</c:v>
                </c:pt>
                <c:pt idx="224">
                  <c:v>12.477488682728637</c:v>
                </c:pt>
                <c:pt idx="225">
                  <c:v>13.123147781733252</c:v>
                </c:pt>
                <c:pt idx="226">
                  <c:v>13.26684319925414</c:v>
                </c:pt>
                <c:pt idx="227">
                  <c:v>13.150136486408213</c:v>
                </c:pt>
                <c:pt idx="228">
                  <c:v>12.776004246932395</c:v>
                </c:pt>
                <c:pt idx="229">
                  <c:v>12.909249457858454</c:v>
                </c:pt>
                <c:pt idx="230">
                  <c:v>12.583299434839928</c:v>
                </c:pt>
                <c:pt idx="231">
                  <c:v>12.977162309668014</c:v>
                </c:pt>
                <c:pt idx="232">
                  <c:v>12.905843779245638</c:v>
                </c:pt>
                <c:pt idx="233">
                  <c:v>13.039887195419389</c:v>
                </c:pt>
                <c:pt idx="234">
                  <c:v>12.523319006545998</c:v>
                </c:pt>
                <c:pt idx="235">
                  <c:v>12.361613408028468</c:v>
                </c:pt>
                <c:pt idx="236">
                  <c:v>12.323048428012337</c:v>
                </c:pt>
                <c:pt idx="237">
                  <c:v>12.331333494575569</c:v>
                </c:pt>
                <c:pt idx="238">
                  <c:v>12.389826366096042</c:v>
                </c:pt>
                <c:pt idx="239">
                  <c:v>12.81233866887786</c:v>
                </c:pt>
                <c:pt idx="240">
                  <c:v>12.954634330660195</c:v>
                </c:pt>
                <c:pt idx="241">
                  <c:v>12.660734536643416</c:v>
                </c:pt>
                <c:pt idx="242">
                  <c:v>12.431596631055891</c:v>
                </c:pt>
                <c:pt idx="243">
                  <c:v>12.229599918173514</c:v>
                </c:pt>
                <c:pt idx="244">
                  <c:v>12.263531505131219</c:v>
                </c:pt>
                <c:pt idx="245">
                  <c:v>12.708799548588878</c:v>
                </c:pt>
                <c:pt idx="246">
                  <c:v>12.414548286213284</c:v>
                </c:pt>
                <c:pt idx="247">
                  <c:v>12.519184653960931</c:v>
                </c:pt>
                <c:pt idx="248">
                  <c:v>12.303695177682775</c:v>
                </c:pt>
                <c:pt idx="249">
                  <c:v>12.539208204942458</c:v>
                </c:pt>
                <c:pt idx="250">
                  <c:v>12.725018702566302</c:v>
                </c:pt>
              </c:numCache>
            </c:numRef>
          </c:val>
          <c:smooth val="0"/>
          <c:extLst>
            <c:ext xmlns:c16="http://schemas.microsoft.com/office/drawing/2014/chart" uri="{C3380CC4-5D6E-409C-BE32-E72D297353CC}">
              <c16:uniqueId val="{00000001-FF90-7648-81D1-5622F6E0E97A}"/>
            </c:ext>
          </c:extLst>
        </c:ser>
        <c:dLbls>
          <c:showLegendKey val="0"/>
          <c:showVal val="0"/>
          <c:showCatName val="0"/>
          <c:showSerName val="0"/>
          <c:showPercent val="0"/>
          <c:showBubbleSize val="0"/>
        </c:dLbls>
        <c:smooth val="0"/>
        <c:axId val="176588288"/>
        <c:axId val="176589824"/>
      </c:lineChart>
      <c:catAx>
        <c:axId val="176588288"/>
        <c:scaling>
          <c:orientation val="minMax"/>
        </c:scaling>
        <c:delete val="0"/>
        <c:axPos val="b"/>
        <c:numFmt formatCode="General" sourceLinked="0"/>
        <c:majorTickMark val="out"/>
        <c:minorTickMark val="none"/>
        <c:tickLblPos val="nextTo"/>
        <c:crossAx val="176589824"/>
        <c:crosses val="autoZero"/>
        <c:auto val="1"/>
        <c:lblAlgn val="ctr"/>
        <c:lblOffset val="100"/>
        <c:noMultiLvlLbl val="0"/>
      </c:catAx>
      <c:valAx>
        <c:axId val="176589824"/>
        <c:scaling>
          <c:orientation val="minMax"/>
        </c:scaling>
        <c:delete val="0"/>
        <c:axPos val="l"/>
        <c:majorGridlines/>
        <c:numFmt formatCode="General" sourceLinked="1"/>
        <c:majorTickMark val="out"/>
        <c:minorTickMark val="none"/>
        <c:tickLblPos val="nextTo"/>
        <c:crossAx val="176588288"/>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[1]Sheet1!$B$1</c:f>
              <c:strCache>
                <c:ptCount val="1"/>
                <c:pt idx="0">
                  <c:v>TSM Close</c:v>
                </c:pt>
              </c:strCache>
            </c:strRef>
          </c:tx>
          <c:marker>
            <c:symbol val="none"/>
          </c:marker>
          <c:cat>
            <c:strLit>
              <c:ptCount val="1"/>
              <c:pt idx="0">
                <c:v>A2:A252</c:v>
              </c:pt>
            </c:strLit>
          </c:cat>
          <c:val>
            <c:numRef>
              <c:f>[1]Sheet1!$B$2:$B$252</c:f>
              <c:numCache>
                <c:formatCode>General</c:formatCode>
                <c:ptCount val="251"/>
                <c:pt idx="0">
                  <c:v>173.5</c:v>
                </c:pt>
                <c:pt idx="1">
                  <c:v>168.24</c:v>
                </c:pt>
                <c:pt idx="2">
                  <c:v>165.25</c:v>
                </c:pt>
                <c:pt idx="3">
                  <c:v>166</c:v>
                </c:pt>
                <c:pt idx="4">
                  <c:v>168.64</c:v>
                </c:pt>
                <c:pt idx="5">
                  <c:v>170.39</c:v>
                </c:pt>
                <c:pt idx="6">
                  <c:v>157.38</c:v>
                </c:pt>
                <c:pt idx="7">
                  <c:v>146.80000000000001</c:v>
                </c:pt>
                <c:pt idx="8">
                  <c:v>146.16999999999999</c:v>
                </c:pt>
                <c:pt idx="9">
                  <c:v>141.37</c:v>
                </c:pt>
                <c:pt idx="10">
                  <c:v>158.75</c:v>
                </c:pt>
                <c:pt idx="11">
                  <c:v>151.13</c:v>
                </c:pt>
                <c:pt idx="12">
                  <c:v>157.08000000000001</c:v>
                </c:pt>
                <c:pt idx="13">
                  <c:v>155.84</c:v>
                </c:pt>
                <c:pt idx="14">
                  <c:v>157.33000000000001</c:v>
                </c:pt>
                <c:pt idx="15">
                  <c:v>151.66999999999999</c:v>
                </c:pt>
                <c:pt idx="16">
                  <c:v>151.74</c:v>
                </c:pt>
                <c:pt idx="17">
                  <c:v>147.86000000000001</c:v>
                </c:pt>
                <c:pt idx="18">
                  <c:v>151.4</c:v>
                </c:pt>
                <c:pt idx="19">
                  <c:v>157.81</c:v>
                </c:pt>
                <c:pt idx="20">
                  <c:v>164.18</c:v>
                </c:pt>
                <c:pt idx="21">
                  <c:v>165.1</c:v>
                </c:pt>
                <c:pt idx="22">
                  <c:v>163.4</c:v>
                </c:pt>
                <c:pt idx="23">
                  <c:v>164.48</c:v>
                </c:pt>
                <c:pt idx="24">
                  <c:v>166.69</c:v>
                </c:pt>
                <c:pt idx="25">
                  <c:v>172.72</c:v>
                </c:pt>
                <c:pt idx="26">
                  <c:v>179.28</c:v>
                </c:pt>
                <c:pt idx="27">
                  <c:v>176.4</c:v>
                </c:pt>
                <c:pt idx="28">
                  <c:v>172.28</c:v>
                </c:pt>
                <c:pt idx="29">
                  <c:v>174.54</c:v>
                </c:pt>
                <c:pt idx="30">
                  <c:v>175.22</c:v>
                </c:pt>
                <c:pt idx="31">
                  <c:v>176.52</c:v>
                </c:pt>
                <c:pt idx="32">
                  <c:v>186.98</c:v>
                </c:pt>
                <c:pt idx="33">
                  <c:v>193.99</c:v>
                </c:pt>
                <c:pt idx="34">
                  <c:v>194.76</c:v>
                </c:pt>
                <c:pt idx="35">
                  <c:v>194.22</c:v>
                </c:pt>
                <c:pt idx="36">
                  <c:v>194.22</c:v>
                </c:pt>
                <c:pt idx="37">
                  <c:v>193.5</c:v>
                </c:pt>
                <c:pt idx="38">
                  <c:v>193.45</c:v>
                </c:pt>
                <c:pt idx="39">
                  <c:v>191.76</c:v>
                </c:pt>
                <c:pt idx="40">
                  <c:v>196.19</c:v>
                </c:pt>
                <c:pt idx="41">
                  <c:v>191.98</c:v>
                </c:pt>
                <c:pt idx="42">
                  <c:v>197.68</c:v>
                </c:pt>
                <c:pt idx="43">
                  <c:v>196.14</c:v>
                </c:pt>
                <c:pt idx="44">
                  <c:v>197.15</c:v>
                </c:pt>
                <c:pt idx="45">
                  <c:v>193.32</c:v>
                </c:pt>
                <c:pt idx="46">
                  <c:v>194.84</c:v>
                </c:pt>
                <c:pt idx="47">
                  <c:v>197.61</c:v>
                </c:pt>
                <c:pt idx="48">
                  <c:v>202.4</c:v>
                </c:pt>
                <c:pt idx="49">
                  <c:v>203.34</c:v>
                </c:pt>
                <c:pt idx="50">
                  <c:v>205.18</c:v>
                </c:pt>
                <c:pt idx="51">
                  <c:v>207</c:v>
                </c:pt>
                <c:pt idx="52">
                  <c:v>212.46</c:v>
                </c:pt>
                <c:pt idx="53">
                  <c:v>214.1</c:v>
                </c:pt>
                <c:pt idx="54">
                  <c:v>215.43</c:v>
                </c:pt>
                <c:pt idx="55">
                  <c:v>211.1</c:v>
                </c:pt>
                <c:pt idx="56">
                  <c:v>215.68</c:v>
                </c:pt>
                <c:pt idx="57">
                  <c:v>213.9</c:v>
                </c:pt>
                <c:pt idx="58">
                  <c:v>213.5</c:v>
                </c:pt>
                <c:pt idx="59">
                  <c:v>209.51</c:v>
                </c:pt>
                <c:pt idx="60">
                  <c:v>210.32</c:v>
                </c:pt>
                <c:pt idx="61">
                  <c:v>220.09</c:v>
                </c:pt>
                <c:pt idx="62">
                  <c:v>222.74</c:v>
                </c:pt>
                <c:pt idx="63">
                  <c:v>224.01</c:v>
                </c:pt>
                <c:pt idx="64">
                  <c:v>228.57</c:v>
                </c:pt>
                <c:pt idx="65">
                  <c:v>226.49</c:v>
                </c:pt>
                <c:pt idx="66">
                  <c:v>224.68</c:v>
                </c:pt>
                <c:pt idx="67">
                  <c:v>233.6</c:v>
                </c:pt>
                <c:pt idx="68">
                  <c:v>234.8</c:v>
                </c:pt>
                <c:pt idx="69">
                  <c:v>229.17</c:v>
                </c:pt>
                <c:pt idx="70">
                  <c:v>227.86</c:v>
                </c:pt>
                <c:pt idx="71">
                  <c:v>231.84</c:v>
                </c:pt>
                <c:pt idx="72">
                  <c:v>229.76</c:v>
                </c:pt>
                <c:pt idx="73">
                  <c:v>230.4</c:v>
                </c:pt>
                <c:pt idx="74">
                  <c:v>228.67</c:v>
                </c:pt>
                <c:pt idx="75">
                  <c:v>236.95</c:v>
                </c:pt>
                <c:pt idx="76">
                  <c:v>237.56</c:v>
                </c:pt>
                <c:pt idx="77">
                  <c:v>245.6</c:v>
                </c:pt>
                <c:pt idx="78">
                  <c:v>240.4</c:v>
                </c:pt>
                <c:pt idx="79">
                  <c:v>238.85</c:v>
                </c:pt>
                <c:pt idx="80">
                  <c:v>234.6</c:v>
                </c:pt>
                <c:pt idx="81">
                  <c:v>240.33</c:v>
                </c:pt>
                <c:pt idx="82">
                  <c:v>241.6</c:v>
                </c:pt>
                <c:pt idx="83">
                  <c:v>245.6</c:v>
                </c:pt>
                <c:pt idx="84">
                  <c:v>242.75</c:v>
                </c:pt>
                <c:pt idx="85">
                  <c:v>241.33</c:v>
                </c:pt>
                <c:pt idx="86">
                  <c:v>242.91</c:v>
                </c:pt>
                <c:pt idx="87">
                  <c:v>241.62</c:v>
                </c:pt>
                <c:pt idx="88">
                  <c:v>235.21</c:v>
                </c:pt>
                <c:pt idx="89">
                  <c:v>239</c:v>
                </c:pt>
                <c:pt idx="90">
                  <c:v>232.47</c:v>
                </c:pt>
                <c:pt idx="91">
                  <c:v>231.37</c:v>
                </c:pt>
                <c:pt idx="92">
                  <c:v>242.62</c:v>
                </c:pt>
                <c:pt idx="93">
                  <c:v>241.83</c:v>
                </c:pt>
                <c:pt idx="94">
                  <c:v>242.09</c:v>
                </c:pt>
                <c:pt idx="95">
                  <c:v>244.29</c:v>
                </c:pt>
                <c:pt idx="96">
                  <c:v>241.44</c:v>
                </c:pt>
                <c:pt idx="97">
                  <c:v>241</c:v>
                </c:pt>
                <c:pt idx="98">
                  <c:v>238.88</c:v>
                </c:pt>
                <c:pt idx="99">
                  <c:v>241.41</c:v>
                </c:pt>
                <c:pt idx="100">
                  <c:v>232.7</c:v>
                </c:pt>
                <c:pt idx="101">
                  <c:v>228.6</c:v>
                </c:pt>
                <c:pt idx="102">
                  <c:v>227.33</c:v>
                </c:pt>
                <c:pt idx="103">
                  <c:v>232.99</c:v>
                </c:pt>
                <c:pt idx="104">
                  <c:v>235.59</c:v>
                </c:pt>
                <c:pt idx="105">
                  <c:v>238.72</c:v>
                </c:pt>
                <c:pt idx="106">
                  <c:v>239.29</c:v>
                </c:pt>
                <c:pt idx="107">
                  <c:v>238.27</c:v>
                </c:pt>
                <c:pt idx="108">
                  <c:v>230.87</c:v>
                </c:pt>
                <c:pt idx="109">
                  <c:v>228.39</c:v>
                </c:pt>
                <c:pt idx="110">
                  <c:v>231.39</c:v>
                </c:pt>
                <c:pt idx="111">
                  <c:v>235.21</c:v>
                </c:pt>
                <c:pt idx="112">
                  <c:v>243.41</c:v>
                </c:pt>
                <c:pt idx="113">
                  <c:v>247.19</c:v>
                </c:pt>
                <c:pt idx="114">
                  <c:v>250.92</c:v>
                </c:pt>
                <c:pt idx="115">
                  <c:v>260.44</c:v>
                </c:pt>
                <c:pt idx="116">
                  <c:v>258.91000000000003</c:v>
                </c:pt>
                <c:pt idx="117">
                  <c:v>259.33</c:v>
                </c:pt>
                <c:pt idx="118">
                  <c:v>261.38</c:v>
                </c:pt>
                <c:pt idx="119">
                  <c:v>262.06</c:v>
                </c:pt>
                <c:pt idx="120">
                  <c:v>262.79000000000002</c:v>
                </c:pt>
                <c:pt idx="121">
                  <c:v>268.64</c:v>
                </c:pt>
                <c:pt idx="122">
                  <c:v>264.87</c:v>
                </c:pt>
                <c:pt idx="123">
                  <c:v>272.63</c:v>
                </c:pt>
                <c:pt idx="124">
                  <c:v>282.70999999999998</c:v>
                </c:pt>
                <c:pt idx="125">
                  <c:v>280.70999999999998</c:v>
                </c:pt>
                <c:pt idx="126">
                  <c:v>276.66000000000003</c:v>
                </c:pt>
                <c:pt idx="127">
                  <c:v>273.36</c:v>
                </c:pt>
                <c:pt idx="128">
                  <c:v>273.23</c:v>
                </c:pt>
                <c:pt idx="129">
                  <c:v>279.29000000000002</c:v>
                </c:pt>
                <c:pt idx="130">
                  <c:v>288.47000000000003</c:v>
                </c:pt>
                <c:pt idx="131">
                  <c:v>288.11</c:v>
                </c:pt>
                <c:pt idx="132">
                  <c:v>292.19</c:v>
                </c:pt>
                <c:pt idx="133">
                  <c:v>302.39999999999998</c:v>
                </c:pt>
                <c:pt idx="134">
                  <c:v>294.02999999999997</c:v>
                </c:pt>
                <c:pt idx="135">
                  <c:v>304.52</c:v>
                </c:pt>
                <c:pt idx="136">
                  <c:v>299.88</c:v>
                </c:pt>
                <c:pt idx="137">
                  <c:v>280.66000000000003</c:v>
                </c:pt>
                <c:pt idx="138">
                  <c:v>302.89</c:v>
                </c:pt>
                <c:pt idx="139">
                  <c:v>295.94</c:v>
                </c:pt>
                <c:pt idx="140">
                  <c:v>304.70999999999998</c:v>
                </c:pt>
                <c:pt idx="141">
                  <c:v>299.83999999999997</c:v>
                </c:pt>
                <c:pt idx="142">
                  <c:v>295.08</c:v>
                </c:pt>
                <c:pt idx="143">
                  <c:v>297.7</c:v>
                </c:pt>
                <c:pt idx="144">
                  <c:v>294.51</c:v>
                </c:pt>
                <c:pt idx="145">
                  <c:v>288.88</c:v>
                </c:pt>
                <c:pt idx="146">
                  <c:v>290.73</c:v>
                </c:pt>
                <c:pt idx="147">
                  <c:v>294.95999999999998</c:v>
                </c:pt>
                <c:pt idx="148">
                  <c:v>298.25</c:v>
                </c:pt>
                <c:pt idx="149">
                  <c:v>301.52999999999997</c:v>
                </c:pt>
                <c:pt idx="150">
                  <c:v>305.08999999999997</c:v>
                </c:pt>
                <c:pt idx="151">
                  <c:v>303.22000000000003</c:v>
                </c:pt>
                <c:pt idx="152">
                  <c:v>300.43</c:v>
                </c:pt>
                <c:pt idx="153">
                  <c:v>304.86</c:v>
                </c:pt>
                <c:pt idx="154">
                  <c:v>294.05</c:v>
                </c:pt>
                <c:pt idx="155">
                  <c:v>293.64</c:v>
                </c:pt>
                <c:pt idx="156">
                  <c:v>289.24</c:v>
                </c:pt>
                <c:pt idx="157">
                  <c:v>286.5</c:v>
                </c:pt>
                <c:pt idx="158">
                  <c:v>295.27</c:v>
                </c:pt>
                <c:pt idx="159">
                  <c:v>291.17</c:v>
                </c:pt>
                <c:pt idx="160">
                  <c:v>290.62</c:v>
                </c:pt>
                <c:pt idx="161">
                  <c:v>282.2</c:v>
                </c:pt>
                <c:pt idx="162">
                  <c:v>284.82</c:v>
                </c:pt>
                <c:pt idx="163">
                  <c:v>282.01</c:v>
                </c:pt>
                <c:pt idx="164">
                  <c:v>277.91000000000003</c:v>
                </c:pt>
                <c:pt idx="165">
                  <c:v>282.37</c:v>
                </c:pt>
                <c:pt idx="166">
                  <c:v>277.5</c:v>
                </c:pt>
                <c:pt idx="167">
                  <c:v>275.06</c:v>
                </c:pt>
                <c:pt idx="168">
                  <c:v>284.64</c:v>
                </c:pt>
                <c:pt idx="169">
                  <c:v>284.68</c:v>
                </c:pt>
                <c:pt idx="170">
                  <c:v>289.95999999999998</c:v>
                </c:pt>
                <c:pt idx="171">
                  <c:v>291.51</c:v>
                </c:pt>
                <c:pt idx="172">
                  <c:v>287.68</c:v>
                </c:pt>
                <c:pt idx="173">
                  <c:v>292.08999999999997</c:v>
                </c:pt>
                <c:pt idx="174">
                  <c:v>295.45</c:v>
                </c:pt>
                <c:pt idx="175">
                  <c:v>292.93</c:v>
                </c:pt>
                <c:pt idx="176">
                  <c:v>294.72000000000003</c:v>
                </c:pt>
                <c:pt idx="177">
                  <c:v>301.87</c:v>
                </c:pt>
                <c:pt idx="178">
                  <c:v>303.41000000000003</c:v>
                </c:pt>
                <c:pt idx="179">
                  <c:v>310.14</c:v>
                </c:pt>
                <c:pt idx="180">
                  <c:v>304.85000000000002</c:v>
                </c:pt>
                <c:pt idx="181">
                  <c:v>292.04000000000002</c:v>
                </c:pt>
                <c:pt idx="182">
                  <c:v>287.74</c:v>
                </c:pt>
                <c:pt idx="183">
                  <c:v>286.87</c:v>
                </c:pt>
                <c:pt idx="184">
                  <c:v>276.95999999999998</c:v>
                </c:pt>
                <c:pt idx="185">
                  <c:v>284.68</c:v>
                </c:pt>
                <c:pt idx="186">
                  <c:v>288.95</c:v>
                </c:pt>
                <c:pt idx="187">
                  <c:v>293.27999999999997</c:v>
                </c:pt>
                <c:pt idx="188">
                  <c:v>296.95</c:v>
                </c:pt>
                <c:pt idx="189">
                  <c:v>298.8</c:v>
                </c:pt>
                <c:pt idx="190">
                  <c:v>302.83999999999997</c:v>
                </c:pt>
                <c:pt idx="191">
                  <c:v>300.92</c:v>
                </c:pt>
                <c:pt idx="192">
                  <c:v>299.58</c:v>
                </c:pt>
                <c:pt idx="193">
                  <c:v>303.89</c:v>
                </c:pt>
                <c:pt idx="194">
                  <c:v>319.61</c:v>
                </c:pt>
                <c:pt idx="195">
                  <c:v>322.25</c:v>
                </c:pt>
                <c:pt idx="196">
                  <c:v>327.43</c:v>
                </c:pt>
                <c:pt idx="197">
                  <c:v>318.68</c:v>
                </c:pt>
                <c:pt idx="198">
                  <c:v>318.01</c:v>
                </c:pt>
                <c:pt idx="199">
                  <c:v>323.63</c:v>
                </c:pt>
                <c:pt idx="200">
                  <c:v>331.77</c:v>
                </c:pt>
                <c:pt idx="201">
                  <c:v>331.21</c:v>
                </c:pt>
                <c:pt idx="202">
                  <c:v>327.11</c:v>
                </c:pt>
                <c:pt idx="203">
                  <c:v>341.64</c:v>
                </c:pt>
                <c:pt idx="204">
                  <c:v>342.4</c:v>
                </c:pt>
                <c:pt idx="205">
                  <c:v>327.16000000000003</c:v>
                </c:pt>
                <c:pt idx="206">
                  <c:v>326.12</c:v>
                </c:pt>
                <c:pt idx="207">
                  <c:v>327.37</c:v>
                </c:pt>
                <c:pt idx="208">
                  <c:v>334.87</c:v>
                </c:pt>
                <c:pt idx="209">
                  <c:v>332.71</c:v>
                </c:pt>
                <c:pt idx="210">
                  <c:v>338.34</c:v>
                </c:pt>
                <c:pt idx="211">
                  <c:v>342.3</c:v>
                </c:pt>
                <c:pt idx="212">
                  <c:v>339.55</c:v>
                </c:pt>
                <c:pt idx="213">
                  <c:v>330.56</c:v>
                </c:pt>
                <c:pt idx="214">
                  <c:v>341.36</c:v>
                </c:pt>
                <c:pt idx="215">
                  <c:v>335.75</c:v>
                </c:pt>
                <c:pt idx="216">
                  <c:v>325.74</c:v>
                </c:pt>
                <c:pt idx="217">
                  <c:v>330.73</c:v>
                </c:pt>
                <c:pt idx="218">
                  <c:v>348.85</c:v>
                </c:pt>
                <c:pt idx="219">
                  <c:v>355.41</c:v>
                </c:pt>
                <c:pt idx="220">
                  <c:v>361.91</c:v>
                </c:pt>
                <c:pt idx="221">
                  <c:v>374.09</c:v>
                </c:pt>
                <c:pt idx="222">
                  <c:v>368.1</c:v>
                </c:pt>
                <c:pt idx="223">
                  <c:v>366.36</c:v>
                </c:pt>
                <c:pt idx="224">
                  <c:v>364.2</c:v>
                </c:pt>
                <c:pt idx="225">
                  <c:v>362.26</c:v>
                </c:pt>
                <c:pt idx="226">
                  <c:v>360.39</c:v>
                </c:pt>
                <c:pt idx="227">
                  <c:v>370.54</c:v>
                </c:pt>
                <c:pt idx="228">
                  <c:v>370.04</c:v>
                </c:pt>
                <c:pt idx="229">
                  <c:v>385.75</c:v>
                </c:pt>
                <c:pt idx="230">
                  <c:v>387.73</c:v>
                </c:pt>
                <c:pt idx="231">
                  <c:v>376.81</c:v>
                </c:pt>
                <c:pt idx="232">
                  <c:v>374.58</c:v>
                </c:pt>
                <c:pt idx="233">
                  <c:v>369.11</c:v>
                </c:pt>
                <c:pt idx="234">
                  <c:v>353.13</c:v>
                </c:pt>
                <c:pt idx="235">
                  <c:v>357.44</c:v>
                </c:pt>
                <c:pt idx="236">
                  <c:v>353.86</c:v>
                </c:pt>
                <c:pt idx="237">
                  <c:v>338.89</c:v>
                </c:pt>
                <c:pt idx="238">
                  <c:v>348.7</c:v>
                </c:pt>
                <c:pt idx="239">
                  <c:v>347.09</c:v>
                </c:pt>
                <c:pt idx="240">
                  <c:v>354.56</c:v>
                </c:pt>
                <c:pt idx="241">
                  <c:v>336.71</c:v>
                </c:pt>
                <c:pt idx="242">
                  <c:v>338.31</c:v>
                </c:pt>
                <c:pt idx="243">
                  <c:v>340.23</c:v>
                </c:pt>
                <c:pt idx="244">
                  <c:v>345.98</c:v>
                </c:pt>
                <c:pt idx="245">
                  <c:v>339.57</c:v>
                </c:pt>
                <c:pt idx="246">
                  <c:v>338.79</c:v>
                </c:pt>
                <c:pt idx="247">
                  <c:v>329.24</c:v>
                </c:pt>
                <c:pt idx="248">
                  <c:v>338.45</c:v>
                </c:pt>
                <c:pt idx="249">
                  <c:v>343.25</c:v>
                </c:pt>
                <c:pt idx="250">
                  <c:v>347.75</c:v>
                </c:pt>
              </c:numCache>
            </c:numRef>
          </c:val>
          <c:smooth val="0"/>
          <c:extLst>
            <c:ext xmlns:c16="http://schemas.microsoft.com/office/drawing/2014/chart" uri="{C3380CC4-5D6E-409C-BE32-E72D297353CC}">
              <c16:uniqueId val="{00000000-971E-474C-B632-5D11E545C232}"/>
            </c:ext>
          </c:extLst>
        </c:ser>
        <c:ser>
          <c:idx val="1"/>
          <c:order val="1"/>
          <c:tx>
            <c:strRef>
              <c:f>[1]Sheet1!$H$1</c:f>
              <c:strCache>
                <c:ptCount val="1"/>
                <c:pt idx="0">
                  <c:v>TSM Sim</c:v>
                </c:pt>
              </c:strCache>
            </c:strRef>
          </c:tx>
          <c:marker>
            <c:symbol val="none"/>
          </c:marker>
          <c:cat>
            <c:strLit>
              <c:ptCount val="1"/>
              <c:pt idx="0">
                <c:v>A2:A252</c:v>
              </c:pt>
            </c:strLit>
          </c:cat>
          <c:val>
            <c:numRef>
              <c:f>[1]Sheet1!$H$2:$H$252</c:f>
              <c:numCache>
                <c:formatCode>General</c:formatCode>
                <c:ptCount val="251"/>
                <c:pt idx="0">
                  <c:v>173.5</c:v>
                </c:pt>
                <c:pt idx="1">
                  <c:v>171.24737538701203</c:v>
                </c:pt>
                <c:pt idx="2">
                  <c:v>181.06500310913805</c:v>
                </c:pt>
                <c:pt idx="3">
                  <c:v>177.39064552302511</c:v>
                </c:pt>
                <c:pt idx="4">
                  <c:v>176.11575265082584</c:v>
                </c:pt>
                <c:pt idx="5">
                  <c:v>170.07318795772011</c:v>
                </c:pt>
                <c:pt idx="6">
                  <c:v>168.87309491218713</c:v>
                </c:pt>
                <c:pt idx="7">
                  <c:v>173.5409858667046</c:v>
                </c:pt>
                <c:pt idx="8">
                  <c:v>173.84745203642521</c:v>
                </c:pt>
                <c:pt idx="9">
                  <c:v>176.08572142501802</c:v>
                </c:pt>
                <c:pt idx="10">
                  <c:v>174.74991652702505</c:v>
                </c:pt>
                <c:pt idx="11">
                  <c:v>174.38518888952879</c:v>
                </c:pt>
                <c:pt idx="12">
                  <c:v>174.08079113765294</c:v>
                </c:pt>
                <c:pt idx="13">
                  <c:v>178.29668500310467</c:v>
                </c:pt>
                <c:pt idx="14">
                  <c:v>184.90627252644097</c:v>
                </c:pt>
                <c:pt idx="15">
                  <c:v>185.69194161810674</c:v>
                </c:pt>
                <c:pt idx="16">
                  <c:v>189.00932284281629</c:v>
                </c:pt>
                <c:pt idx="17">
                  <c:v>186.38338401250408</c:v>
                </c:pt>
                <c:pt idx="18">
                  <c:v>186.82011739596382</c:v>
                </c:pt>
                <c:pt idx="19">
                  <c:v>186.45658554616671</c:v>
                </c:pt>
                <c:pt idx="20">
                  <c:v>189.4076143943222</c:v>
                </c:pt>
                <c:pt idx="21">
                  <c:v>182.55449474764976</c:v>
                </c:pt>
                <c:pt idx="22">
                  <c:v>184.45883648044253</c:v>
                </c:pt>
                <c:pt idx="23">
                  <c:v>180.15860350988706</c:v>
                </c:pt>
                <c:pt idx="24">
                  <c:v>174.25066527102067</c:v>
                </c:pt>
                <c:pt idx="25">
                  <c:v>177.21439197001271</c:v>
                </c:pt>
                <c:pt idx="26">
                  <c:v>176.82834386895553</c:v>
                </c:pt>
                <c:pt idx="27">
                  <c:v>173.72264027973699</c:v>
                </c:pt>
                <c:pt idx="28">
                  <c:v>177.0153529723751</c:v>
                </c:pt>
                <c:pt idx="29">
                  <c:v>174.83648948584397</c:v>
                </c:pt>
                <c:pt idx="30">
                  <c:v>167.0923949735043</c:v>
                </c:pt>
                <c:pt idx="31">
                  <c:v>174.00754716150576</c:v>
                </c:pt>
                <c:pt idx="32">
                  <c:v>169.65548568134122</c:v>
                </c:pt>
                <c:pt idx="33">
                  <c:v>176.37040867831945</c:v>
                </c:pt>
                <c:pt idx="34">
                  <c:v>177.29437349483328</c:v>
                </c:pt>
                <c:pt idx="35">
                  <c:v>173.30334650734918</c:v>
                </c:pt>
                <c:pt idx="36">
                  <c:v>177.05527841442563</c:v>
                </c:pt>
                <c:pt idx="37">
                  <c:v>176.04174385689581</c:v>
                </c:pt>
                <c:pt idx="38">
                  <c:v>179.5743605862701</c:v>
                </c:pt>
                <c:pt idx="39">
                  <c:v>180.76255486697664</c:v>
                </c:pt>
                <c:pt idx="40">
                  <c:v>189.77962439108998</c:v>
                </c:pt>
                <c:pt idx="41">
                  <c:v>198.69187952177762</c:v>
                </c:pt>
                <c:pt idx="42">
                  <c:v>200.59524669858817</c:v>
                </c:pt>
                <c:pt idx="43">
                  <c:v>199.57386391114377</c:v>
                </c:pt>
                <c:pt idx="44">
                  <c:v>200.47148495340133</c:v>
                </c:pt>
                <c:pt idx="45">
                  <c:v>193.20433379190746</c:v>
                </c:pt>
                <c:pt idx="46">
                  <c:v>194.20218430901372</c:v>
                </c:pt>
                <c:pt idx="47">
                  <c:v>195.5326569663724</c:v>
                </c:pt>
                <c:pt idx="48">
                  <c:v>190.93987462093108</c:v>
                </c:pt>
                <c:pt idx="49">
                  <c:v>202.71309984579634</c:v>
                </c:pt>
                <c:pt idx="50">
                  <c:v>204.75646459507797</c:v>
                </c:pt>
                <c:pt idx="51">
                  <c:v>203.35316321838502</c:v>
                </c:pt>
                <c:pt idx="52">
                  <c:v>199.12393346424273</c:v>
                </c:pt>
                <c:pt idx="53">
                  <c:v>203.18176050474338</c:v>
                </c:pt>
                <c:pt idx="54">
                  <c:v>198.51621509395025</c:v>
                </c:pt>
                <c:pt idx="55">
                  <c:v>197.07331064645734</c:v>
                </c:pt>
                <c:pt idx="56">
                  <c:v>200.26180665532181</c:v>
                </c:pt>
                <c:pt idx="57">
                  <c:v>202.50391062943663</c:v>
                </c:pt>
                <c:pt idx="58">
                  <c:v>197.17690363116515</c:v>
                </c:pt>
                <c:pt idx="59">
                  <c:v>197.70968056618608</c:v>
                </c:pt>
                <c:pt idx="60">
                  <c:v>194.56935230495512</c:v>
                </c:pt>
                <c:pt idx="61">
                  <c:v>197.20388385307604</c:v>
                </c:pt>
                <c:pt idx="62">
                  <c:v>192.72852321239603</c:v>
                </c:pt>
                <c:pt idx="63">
                  <c:v>190.83792233699378</c:v>
                </c:pt>
                <c:pt idx="64">
                  <c:v>189.8711096477451</c:v>
                </c:pt>
                <c:pt idx="65">
                  <c:v>189.6439969307585</c:v>
                </c:pt>
                <c:pt idx="66">
                  <c:v>196.73352089346454</c:v>
                </c:pt>
                <c:pt idx="67">
                  <c:v>200.30650165684784</c:v>
                </c:pt>
                <c:pt idx="68">
                  <c:v>194.81272682187017</c:v>
                </c:pt>
                <c:pt idx="69">
                  <c:v>201.78390104170111</c:v>
                </c:pt>
                <c:pt idx="70">
                  <c:v>198.62321095381353</c:v>
                </c:pt>
                <c:pt idx="71">
                  <c:v>199.57411847847257</c:v>
                </c:pt>
                <c:pt idx="72">
                  <c:v>201.54122672194538</c:v>
                </c:pt>
                <c:pt idx="73">
                  <c:v>198.88204884876492</c:v>
                </c:pt>
                <c:pt idx="74">
                  <c:v>190.08951601017708</c:v>
                </c:pt>
                <c:pt idx="75">
                  <c:v>184.41479898033276</c:v>
                </c:pt>
                <c:pt idx="76">
                  <c:v>183.46106695964949</c:v>
                </c:pt>
                <c:pt idx="77">
                  <c:v>182.29806664770345</c:v>
                </c:pt>
                <c:pt idx="78">
                  <c:v>179.75663767386121</c:v>
                </c:pt>
                <c:pt idx="79">
                  <c:v>173.84315157424086</c:v>
                </c:pt>
                <c:pt idx="80">
                  <c:v>176.03201414905752</c:v>
                </c:pt>
                <c:pt idx="81">
                  <c:v>177.0698000282635</c:v>
                </c:pt>
                <c:pt idx="82">
                  <c:v>169.7968929079114</c:v>
                </c:pt>
                <c:pt idx="83">
                  <c:v>177.41914921115423</c:v>
                </c:pt>
                <c:pt idx="84">
                  <c:v>172.03810757648753</c:v>
                </c:pt>
                <c:pt idx="85">
                  <c:v>171.56615443149238</c:v>
                </c:pt>
                <c:pt idx="86">
                  <c:v>178.51428877118465</c:v>
                </c:pt>
                <c:pt idx="87">
                  <c:v>178.58212115058154</c:v>
                </c:pt>
                <c:pt idx="88">
                  <c:v>178.08038957453476</c:v>
                </c:pt>
                <c:pt idx="89">
                  <c:v>177.44745424263326</c:v>
                </c:pt>
                <c:pt idx="90">
                  <c:v>177.10087624547299</c:v>
                </c:pt>
                <c:pt idx="91">
                  <c:v>169.47768659122238</c:v>
                </c:pt>
                <c:pt idx="92">
                  <c:v>170.50730662276212</c:v>
                </c:pt>
                <c:pt idx="93">
                  <c:v>177.78069310653368</c:v>
                </c:pt>
                <c:pt idx="94">
                  <c:v>182.73367967660559</c:v>
                </c:pt>
                <c:pt idx="95">
                  <c:v>181.00126313943969</c:v>
                </c:pt>
                <c:pt idx="96">
                  <c:v>180.93718483774558</c:v>
                </c:pt>
                <c:pt idx="97">
                  <c:v>180.65315614019073</c:v>
                </c:pt>
                <c:pt idx="98">
                  <c:v>182.72188312426684</c:v>
                </c:pt>
                <c:pt idx="99">
                  <c:v>185.96083055630069</c:v>
                </c:pt>
                <c:pt idx="100">
                  <c:v>185.7062972624131</c:v>
                </c:pt>
                <c:pt idx="101">
                  <c:v>192.86214344784284</c:v>
                </c:pt>
                <c:pt idx="102">
                  <c:v>190.14719831661034</c:v>
                </c:pt>
                <c:pt idx="103">
                  <c:v>190.75568759729208</c:v>
                </c:pt>
                <c:pt idx="104">
                  <c:v>187.93697099094427</c:v>
                </c:pt>
                <c:pt idx="105">
                  <c:v>195.78377344806515</c:v>
                </c:pt>
                <c:pt idx="106">
                  <c:v>196.1965068765858</c:v>
                </c:pt>
                <c:pt idx="107">
                  <c:v>192.34936433564869</c:v>
                </c:pt>
                <c:pt idx="108">
                  <c:v>190.79694564610713</c:v>
                </c:pt>
                <c:pt idx="109">
                  <c:v>191.34949298340149</c:v>
                </c:pt>
                <c:pt idx="110">
                  <c:v>189.57061102042599</c:v>
                </c:pt>
                <c:pt idx="111">
                  <c:v>194.65231971455938</c:v>
                </c:pt>
                <c:pt idx="112">
                  <c:v>197.37548294657614</c:v>
                </c:pt>
                <c:pt idx="113">
                  <c:v>197.24682313303887</c:v>
                </c:pt>
                <c:pt idx="114">
                  <c:v>198.52381443247</c:v>
                </c:pt>
                <c:pt idx="115">
                  <c:v>190.93122900565876</c:v>
                </c:pt>
                <c:pt idx="116">
                  <c:v>185.59345939792169</c:v>
                </c:pt>
                <c:pt idx="117">
                  <c:v>191.2261743243113</c:v>
                </c:pt>
                <c:pt idx="118">
                  <c:v>194.1829257728061</c:v>
                </c:pt>
                <c:pt idx="119">
                  <c:v>191.83659007852884</c:v>
                </c:pt>
                <c:pt idx="120">
                  <c:v>198.99025740004339</c:v>
                </c:pt>
                <c:pt idx="121">
                  <c:v>198.8792491776797</c:v>
                </c:pt>
                <c:pt idx="122">
                  <c:v>196.74866530082267</c:v>
                </c:pt>
                <c:pt idx="123">
                  <c:v>199.38174021249284</c:v>
                </c:pt>
                <c:pt idx="124">
                  <c:v>199.45473958918444</c:v>
                </c:pt>
                <c:pt idx="125">
                  <c:v>200.9706349569112</c:v>
                </c:pt>
                <c:pt idx="126">
                  <c:v>199.19337549574368</c:v>
                </c:pt>
                <c:pt idx="127">
                  <c:v>196.85246529031156</c:v>
                </c:pt>
                <c:pt idx="128">
                  <c:v>186.72659248079344</c:v>
                </c:pt>
                <c:pt idx="129">
                  <c:v>186.10273520103681</c:v>
                </c:pt>
                <c:pt idx="130">
                  <c:v>189.07339703061999</c:v>
                </c:pt>
                <c:pt idx="131">
                  <c:v>187.07258245727201</c:v>
                </c:pt>
                <c:pt idx="132">
                  <c:v>179.1992450883109</c:v>
                </c:pt>
                <c:pt idx="133">
                  <c:v>180.12977329080033</c:v>
                </c:pt>
                <c:pt idx="134">
                  <c:v>177.6452936133237</c:v>
                </c:pt>
                <c:pt idx="135">
                  <c:v>177.69501145842636</c:v>
                </c:pt>
                <c:pt idx="136">
                  <c:v>174.79663752253268</c:v>
                </c:pt>
                <c:pt idx="137">
                  <c:v>175.6340625291655</c:v>
                </c:pt>
                <c:pt idx="138">
                  <c:v>175.28045033682196</c:v>
                </c:pt>
                <c:pt idx="139">
                  <c:v>178.80274265582264</c:v>
                </c:pt>
                <c:pt idx="140">
                  <c:v>174.50477153860271</c:v>
                </c:pt>
                <c:pt idx="141">
                  <c:v>180.38546874804146</c:v>
                </c:pt>
                <c:pt idx="142">
                  <c:v>174.71272009242509</c:v>
                </c:pt>
                <c:pt idx="143">
                  <c:v>177.29429954628748</c:v>
                </c:pt>
                <c:pt idx="144">
                  <c:v>171.84146524270156</c:v>
                </c:pt>
                <c:pt idx="145">
                  <c:v>173.53454217326686</c:v>
                </c:pt>
                <c:pt idx="146">
                  <c:v>170.25547995437304</c:v>
                </c:pt>
                <c:pt idx="147">
                  <c:v>172.85775410343797</c:v>
                </c:pt>
                <c:pt idx="148">
                  <c:v>175.23207526600928</c:v>
                </c:pt>
                <c:pt idx="149">
                  <c:v>177.95310903218856</c:v>
                </c:pt>
                <c:pt idx="150">
                  <c:v>175.10412560075716</c:v>
                </c:pt>
                <c:pt idx="151">
                  <c:v>180.30201927185433</c:v>
                </c:pt>
                <c:pt idx="152">
                  <c:v>176.72233426765357</c:v>
                </c:pt>
                <c:pt idx="153">
                  <c:v>182.81580571091641</c:v>
                </c:pt>
                <c:pt idx="154">
                  <c:v>184.24816740759357</c:v>
                </c:pt>
                <c:pt idx="155">
                  <c:v>184.17644230606288</c:v>
                </c:pt>
                <c:pt idx="156">
                  <c:v>187.61387390172538</c:v>
                </c:pt>
                <c:pt idx="157">
                  <c:v>188.23487776245497</c:v>
                </c:pt>
                <c:pt idx="158">
                  <c:v>189.1066343669149</c:v>
                </c:pt>
                <c:pt idx="159">
                  <c:v>188.46493930019255</c:v>
                </c:pt>
                <c:pt idx="160">
                  <c:v>193.33796306646175</c:v>
                </c:pt>
                <c:pt idx="161">
                  <c:v>201.57025576792111</c:v>
                </c:pt>
                <c:pt idx="162">
                  <c:v>199.3836614286362</c:v>
                </c:pt>
                <c:pt idx="163">
                  <c:v>204.34291879729054</c:v>
                </c:pt>
                <c:pt idx="164">
                  <c:v>211.48297089157705</c:v>
                </c:pt>
                <c:pt idx="165">
                  <c:v>200.87448843120669</c:v>
                </c:pt>
                <c:pt idx="166">
                  <c:v>203.39802723136836</c:v>
                </c:pt>
                <c:pt idx="167">
                  <c:v>201.01230477509091</c:v>
                </c:pt>
                <c:pt idx="168">
                  <c:v>205.55175675199257</c:v>
                </c:pt>
                <c:pt idx="169">
                  <c:v>216.40978134171931</c:v>
                </c:pt>
                <c:pt idx="170">
                  <c:v>226.49706933890451</c:v>
                </c:pt>
                <c:pt idx="171">
                  <c:v>229.43935794143002</c:v>
                </c:pt>
                <c:pt idx="172">
                  <c:v>241.22655367314974</c:v>
                </c:pt>
                <c:pt idx="173">
                  <c:v>242.44653148662366</c:v>
                </c:pt>
                <c:pt idx="174">
                  <c:v>247.46287732441513</c:v>
                </c:pt>
                <c:pt idx="175">
                  <c:v>257.77822673169265</c:v>
                </c:pt>
                <c:pt idx="176">
                  <c:v>252.48725809851496</c:v>
                </c:pt>
                <c:pt idx="177">
                  <c:v>264.27111578040444</c:v>
                </c:pt>
                <c:pt idx="178">
                  <c:v>259.36268913014567</c:v>
                </c:pt>
                <c:pt idx="179">
                  <c:v>257.48201633656623</c:v>
                </c:pt>
                <c:pt idx="180">
                  <c:v>252.32668674395168</c:v>
                </c:pt>
                <c:pt idx="181">
                  <c:v>246.12887936471577</c:v>
                </c:pt>
                <c:pt idx="182">
                  <c:v>240.80170256498587</c:v>
                </c:pt>
                <c:pt idx="183">
                  <c:v>241.21576280138302</c:v>
                </c:pt>
                <c:pt idx="184">
                  <c:v>240.18757456510926</c:v>
                </c:pt>
                <c:pt idx="185">
                  <c:v>239.75061836412283</c:v>
                </c:pt>
                <c:pt idx="186">
                  <c:v>247.01949222746956</c:v>
                </c:pt>
                <c:pt idx="187">
                  <c:v>249.79977354528</c:v>
                </c:pt>
                <c:pt idx="188">
                  <c:v>246.7824433380238</c:v>
                </c:pt>
                <c:pt idx="189">
                  <c:v>243.62106261655882</c:v>
                </c:pt>
                <c:pt idx="190">
                  <c:v>245.69720681466788</c:v>
                </c:pt>
                <c:pt idx="191">
                  <c:v>252.35906134086926</c:v>
                </c:pt>
                <c:pt idx="192">
                  <c:v>253.15050056940981</c:v>
                </c:pt>
                <c:pt idx="193">
                  <c:v>261.28285455142333</c:v>
                </c:pt>
                <c:pt idx="194">
                  <c:v>277.13548809675478</c:v>
                </c:pt>
                <c:pt idx="195">
                  <c:v>285.62882587573944</c:v>
                </c:pt>
                <c:pt idx="196">
                  <c:v>269.41200838543142</c:v>
                </c:pt>
                <c:pt idx="197">
                  <c:v>273.20454881126915</c:v>
                </c:pt>
                <c:pt idx="198">
                  <c:v>278.32287222901124</c:v>
                </c:pt>
                <c:pt idx="199">
                  <c:v>279.54014207635487</c:v>
                </c:pt>
                <c:pt idx="200">
                  <c:v>274.30295603382706</c:v>
                </c:pt>
                <c:pt idx="201">
                  <c:v>273.37002095392586</c:v>
                </c:pt>
                <c:pt idx="202">
                  <c:v>273.34770537830127</c:v>
                </c:pt>
                <c:pt idx="203">
                  <c:v>272.16312599072558</c:v>
                </c:pt>
                <c:pt idx="204">
                  <c:v>266.40611229902873</c:v>
                </c:pt>
                <c:pt idx="205">
                  <c:v>266.4579714527527</c:v>
                </c:pt>
                <c:pt idx="206">
                  <c:v>270.76919376611704</c:v>
                </c:pt>
                <c:pt idx="207">
                  <c:v>265.05034127574703</c:v>
                </c:pt>
                <c:pt idx="208">
                  <c:v>257.46430188252532</c:v>
                </c:pt>
                <c:pt idx="209">
                  <c:v>258.74135255289741</c:v>
                </c:pt>
                <c:pt idx="210">
                  <c:v>264.80932535999034</c:v>
                </c:pt>
                <c:pt idx="211">
                  <c:v>266.0051013839211</c:v>
                </c:pt>
                <c:pt idx="212">
                  <c:v>267.45768967299091</c:v>
                </c:pt>
                <c:pt idx="213">
                  <c:v>270.53277014872771</c:v>
                </c:pt>
                <c:pt idx="214">
                  <c:v>274.17611840402247</c:v>
                </c:pt>
                <c:pt idx="215">
                  <c:v>271.54931307073582</c:v>
                </c:pt>
                <c:pt idx="216">
                  <c:v>264.51588980270134</c:v>
                </c:pt>
                <c:pt idx="217">
                  <c:v>265.91430412799645</c:v>
                </c:pt>
                <c:pt idx="218">
                  <c:v>265.31468422655104</c:v>
                </c:pt>
                <c:pt idx="219">
                  <c:v>268.38016230506599</c:v>
                </c:pt>
                <c:pt idx="220">
                  <c:v>265.01070039132901</c:v>
                </c:pt>
                <c:pt idx="221">
                  <c:v>265.3640717138457</c:v>
                </c:pt>
                <c:pt idx="222">
                  <c:v>259.64888839721635</c:v>
                </c:pt>
                <c:pt idx="223">
                  <c:v>271.65332093370534</c:v>
                </c:pt>
                <c:pt idx="224">
                  <c:v>281.56874155529221</c:v>
                </c:pt>
                <c:pt idx="225">
                  <c:v>273.77246806608957</c:v>
                </c:pt>
                <c:pt idx="226">
                  <c:v>265.04666785790937</c:v>
                </c:pt>
                <c:pt idx="227">
                  <c:v>267.67934010266947</c:v>
                </c:pt>
                <c:pt idx="228">
                  <c:v>270.93272589390961</c:v>
                </c:pt>
                <c:pt idx="229">
                  <c:v>276.40991350673772</c:v>
                </c:pt>
                <c:pt idx="230">
                  <c:v>274.52397385284428</c:v>
                </c:pt>
                <c:pt idx="231">
                  <c:v>285.23400850343859</c:v>
                </c:pt>
                <c:pt idx="232">
                  <c:v>306.64454602851123</c:v>
                </c:pt>
                <c:pt idx="233">
                  <c:v>308.07881135459178</c:v>
                </c:pt>
                <c:pt idx="234">
                  <c:v>310.85782930427882</c:v>
                </c:pt>
                <c:pt idx="235">
                  <c:v>312.91037728886988</c:v>
                </c:pt>
                <c:pt idx="236">
                  <c:v>325.72771302729586</c:v>
                </c:pt>
                <c:pt idx="237">
                  <c:v>331.12672168973967</c:v>
                </c:pt>
                <c:pt idx="238">
                  <c:v>332.69371107871348</c:v>
                </c:pt>
                <c:pt idx="239">
                  <c:v>326.69106851620029</c:v>
                </c:pt>
                <c:pt idx="240">
                  <c:v>327.99237869160834</c:v>
                </c:pt>
                <c:pt idx="241">
                  <c:v>327.94524193774697</c:v>
                </c:pt>
                <c:pt idx="242">
                  <c:v>327.28624979650959</c:v>
                </c:pt>
                <c:pt idx="243">
                  <c:v>336.26615245801952</c:v>
                </c:pt>
                <c:pt idx="244">
                  <c:v>346.43688453191714</c:v>
                </c:pt>
                <c:pt idx="245">
                  <c:v>351.10200681990176</c:v>
                </c:pt>
                <c:pt idx="246">
                  <c:v>351.65783860882857</c:v>
                </c:pt>
                <c:pt idx="247">
                  <c:v>344.55328174313615</c:v>
                </c:pt>
                <c:pt idx="248">
                  <c:v>347.89059619569338</c:v>
                </c:pt>
                <c:pt idx="249">
                  <c:v>342.18283141628331</c:v>
                </c:pt>
                <c:pt idx="250">
                  <c:v>340.33042350416912</c:v>
                </c:pt>
              </c:numCache>
            </c:numRef>
          </c:val>
          <c:smooth val="0"/>
          <c:extLst>
            <c:ext xmlns:c16="http://schemas.microsoft.com/office/drawing/2014/chart" uri="{C3380CC4-5D6E-409C-BE32-E72D297353CC}">
              <c16:uniqueId val="{00000001-971E-474C-B632-5D11E545C232}"/>
            </c:ext>
          </c:extLst>
        </c:ser>
        <c:dLbls>
          <c:showLegendKey val="0"/>
          <c:showVal val="0"/>
          <c:showCatName val="0"/>
          <c:showSerName val="0"/>
          <c:showPercent val="0"/>
          <c:showBubbleSize val="0"/>
        </c:dLbls>
        <c:smooth val="0"/>
        <c:axId val="176614400"/>
        <c:axId val="176624384"/>
      </c:lineChart>
      <c:catAx>
        <c:axId val="176614400"/>
        <c:scaling>
          <c:orientation val="minMax"/>
        </c:scaling>
        <c:delete val="0"/>
        <c:axPos val="b"/>
        <c:numFmt formatCode="General" sourceLinked="0"/>
        <c:majorTickMark val="out"/>
        <c:minorTickMark val="none"/>
        <c:tickLblPos val="nextTo"/>
        <c:crossAx val="176624384"/>
        <c:crosses val="autoZero"/>
        <c:auto val="1"/>
        <c:lblAlgn val="ctr"/>
        <c:lblOffset val="100"/>
        <c:noMultiLvlLbl val="0"/>
      </c:catAx>
      <c:valAx>
        <c:axId val="176624384"/>
        <c:scaling>
          <c:orientation val="minMax"/>
        </c:scaling>
        <c:delete val="0"/>
        <c:axPos val="l"/>
        <c:majorGridlines/>
        <c:numFmt formatCode="General" sourceLinked="1"/>
        <c:majorTickMark val="out"/>
        <c:minorTickMark val="none"/>
        <c:tickLblPos val="nextTo"/>
        <c:crossAx val="176614400"/>
        <c:crosses val="autoZero"/>
        <c:crossBetween val="between"/>
      </c:valAx>
    </c:plotArea>
    <c:legend>
      <c:legendPos val="r"/>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AAPL Close</c:v>
          </c:tx>
          <c:cat>
            <c:strLit>
              <c:ptCount val="1"/>
              <c:pt idx="0">
                <c:v>A2:A252</c:v>
              </c:pt>
            </c:strLit>
          </c:cat>
          <c:val>
            <c:numRef>
              <c:f>[1]Sheet1!$D$2:$D$252</c:f>
              <c:numCache>
                <c:formatCode>General</c:formatCode>
                <c:ptCount val="251"/>
                <c:pt idx="0">
                  <c:v>221.53</c:v>
                </c:pt>
                <c:pt idx="1">
                  <c:v>223.85</c:v>
                </c:pt>
                <c:pt idx="2">
                  <c:v>217.9</c:v>
                </c:pt>
                <c:pt idx="3">
                  <c:v>222.13</c:v>
                </c:pt>
                <c:pt idx="4">
                  <c:v>223.19</c:v>
                </c:pt>
                <c:pt idx="5">
                  <c:v>223.89</c:v>
                </c:pt>
                <c:pt idx="6">
                  <c:v>203.19</c:v>
                </c:pt>
                <c:pt idx="7">
                  <c:v>188.38</c:v>
                </c:pt>
                <c:pt idx="8">
                  <c:v>181.46</c:v>
                </c:pt>
                <c:pt idx="9">
                  <c:v>172.42</c:v>
                </c:pt>
                <c:pt idx="10">
                  <c:v>198.85</c:v>
                </c:pt>
                <c:pt idx="11">
                  <c:v>190.42</c:v>
                </c:pt>
                <c:pt idx="12">
                  <c:v>198.15</c:v>
                </c:pt>
                <c:pt idx="13">
                  <c:v>202.52</c:v>
                </c:pt>
                <c:pt idx="14">
                  <c:v>202.14</c:v>
                </c:pt>
                <c:pt idx="15">
                  <c:v>194.27</c:v>
                </c:pt>
                <c:pt idx="16">
                  <c:v>196.98</c:v>
                </c:pt>
                <c:pt idx="17">
                  <c:v>193.16</c:v>
                </c:pt>
                <c:pt idx="18">
                  <c:v>199.74</c:v>
                </c:pt>
                <c:pt idx="19">
                  <c:v>204.6</c:v>
                </c:pt>
                <c:pt idx="20">
                  <c:v>208.37</c:v>
                </c:pt>
                <c:pt idx="21">
                  <c:v>209.28</c:v>
                </c:pt>
                <c:pt idx="22">
                  <c:v>210.14</c:v>
                </c:pt>
                <c:pt idx="23">
                  <c:v>211.21</c:v>
                </c:pt>
                <c:pt idx="24">
                  <c:v>212.5</c:v>
                </c:pt>
                <c:pt idx="25">
                  <c:v>213.32</c:v>
                </c:pt>
                <c:pt idx="26">
                  <c:v>205.35</c:v>
                </c:pt>
                <c:pt idx="27">
                  <c:v>198.89</c:v>
                </c:pt>
                <c:pt idx="28">
                  <c:v>198.51</c:v>
                </c:pt>
                <c:pt idx="29">
                  <c:v>196.25</c:v>
                </c:pt>
                <c:pt idx="30">
                  <c:v>197.49</c:v>
                </c:pt>
                <c:pt idx="31">
                  <c:v>198.53</c:v>
                </c:pt>
                <c:pt idx="32">
                  <c:v>210.79</c:v>
                </c:pt>
                <c:pt idx="33">
                  <c:v>212.93</c:v>
                </c:pt>
                <c:pt idx="34">
                  <c:v>212.33</c:v>
                </c:pt>
                <c:pt idx="35">
                  <c:v>211.45</c:v>
                </c:pt>
                <c:pt idx="36">
                  <c:v>211.26</c:v>
                </c:pt>
                <c:pt idx="37">
                  <c:v>208.78</c:v>
                </c:pt>
                <c:pt idx="38">
                  <c:v>206.86</c:v>
                </c:pt>
                <c:pt idx="39">
                  <c:v>202.09</c:v>
                </c:pt>
                <c:pt idx="40">
                  <c:v>201.36</c:v>
                </c:pt>
                <c:pt idx="41">
                  <c:v>195.27</c:v>
                </c:pt>
                <c:pt idx="42">
                  <c:v>200.21</c:v>
                </c:pt>
                <c:pt idx="43">
                  <c:v>200.42</c:v>
                </c:pt>
                <c:pt idx="44">
                  <c:v>199.95</c:v>
                </c:pt>
                <c:pt idx="45">
                  <c:v>200.85</c:v>
                </c:pt>
                <c:pt idx="46">
                  <c:v>201.7</c:v>
                </c:pt>
                <c:pt idx="47">
                  <c:v>203.27</c:v>
                </c:pt>
                <c:pt idx="48">
                  <c:v>202.82</c:v>
                </c:pt>
                <c:pt idx="49">
                  <c:v>200.63</c:v>
                </c:pt>
                <c:pt idx="50">
                  <c:v>203.92</c:v>
                </c:pt>
                <c:pt idx="51">
                  <c:v>201.45</c:v>
                </c:pt>
                <c:pt idx="52">
                  <c:v>202.67</c:v>
                </c:pt>
                <c:pt idx="53">
                  <c:v>198.78</c:v>
                </c:pt>
                <c:pt idx="54">
                  <c:v>199.2</c:v>
                </c:pt>
                <c:pt idx="55">
                  <c:v>196.45</c:v>
                </c:pt>
                <c:pt idx="56">
                  <c:v>198.42</c:v>
                </c:pt>
                <c:pt idx="57">
                  <c:v>195.64</c:v>
                </c:pt>
                <c:pt idx="58">
                  <c:v>196.58</c:v>
                </c:pt>
                <c:pt idx="59">
                  <c:v>201</c:v>
                </c:pt>
                <c:pt idx="60">
                  <c:v>201.5</c:v>
                </c:pt>
                <c:pt idx="61">
                  <c:v>200.3</c:v>
                </c:pt>
                <c:pt idx="62">
                  <c:v>201.56</c:v>
                </c:pt>
                <c:pt idx="63">
                  <c:v>201</c:v>
                </c:pt>
                <c:pt idx="64">
                  <c:v>201.08</c:v>
                </c:pt>
                <c:pt idx="65">
                  <c:v>205.17</c:v>
                </c:pt>
                <c:pt idx="66">
                  <c:v>207.82</c:v>
                </c:pt>
                <c:pt idx="67">
                  <c:v>212.44</c:v>
                </c:pt>
                <c:pt idx="68">
                  <c:v>213.55</c:v>
                </c:pt>
                <c:pt idx="69">
                  <c:v>209.95</c:v>
                </c:pt>
                <c:pt idx="70">
                  <c:v>210.01</c:v>
                </c:pt>
                <c:pt idx="71">
                  <c:v>211.14</c:v>
                </c:pt>
                <c:pt idx="72">
                  <c:v>212.41</c:v>
                </c:pt>
                <c:pt idx="73">
                  <c:v>211.16</c:v>
                </c:pt>
                <c:pt idx="74">
                  <c:v>208.62</c:v>
                </c:pt>
                <c:pt idx="75">
                  <c:v>209.11</c:v>
                </c:pt>
                <c:pt idx="76">
                  <c:v>210.16</c:v>
                </c:pt>
                <c:pt idx="77">
                  <c:v>210.02</c:v>
                </c:pt>
                <c:pt idx="78">
                  <c:v>211.18</c:v>
                </c:pt>
                <c:pt idx="79">
                  <c:v>212.48</c:v>
                </c:pt>
                <c:pt idx="80">
                  <c:v>214.4</c:v>
                </c:pt>
                <c:pt idx="81">
                  <c:v>214.15</c:v>
                </c:pt>
                <c:pt idx="82">
                  <c:v>213.76</c:v>
                </c:pt>
                <c:pt idx="83">
                  <c:v>213.88</c:v>
                </c:pt>
                <c:pt idx="84">
                  <c:v>214.05</c:v>
                </c:pt>
                <c:pt idx="85">
                  <c:v>211.27</c:v>
                </c:pt>
                <c:pt idx="86">
                  <c:v>209.05</c:v>
                </c:pt>
                <c:pt idx="87">
                  <c:v>207.57</c:v>
                </c:pt>
                <c:pt idx="88">
                  <c:v>202.38</c:v>
                </c:pt>
                <c:pt idx="89">
                  <c:v>203.35</c:v>
                </c:pt>
                <c:pt idx="90">
                  <c:v>202.92</c:v>
                </c:pt>
                <c:pt idx="91">
                  <c:v>213.25</c:v>
                </c:pt>
                <c:pt idx="92">
                  <c:v>220.03</c:v>
                </c:pt>
                <c:pt idx="93">
                  <c:v>229.35</c:v>
                </c:pt>
                <c:pt idx="94">
                  <c:v>227.18</c:v>
                </c:pt>
                <c:pt idx="95">
                  <c:v>229.65</c:v>
                </c:pt>
                <c:pt idx="96">
                  <c:v>233.33</c:v>
                </c:pt>
                <c:pt idx="97">
                  <c:v>232.78</c:v>
                </c:pt>
                <c:pt idx="98">
                  <c:v>231.59</c:v>
                </c:pt>
                <c:pt idx="99">
                  <c:v>230.89</c:v>
                </c:pt>
                <c:pt idx="100">
                  <c:v>230.56</c:v>
                </c:pt>
                <c:pt idx="101">
                  <c:v>226.01</c:v>
                </c:pt>
                <c:pt idx="102">
                  <c:v>224.9</c:v>
                </c:pt>
                <c:pt idx="103">
                  <c:v>227.76</c:v>
                </c:pt>
                <c:pt idx="104">
                  <c:v>227.16</c:v>
                </c:pt>
                <c:pt idx="105">
                  <c:v>229.31</c:v>
                </c:pt>
                <c:pt idx="106">
                  <c:v>230.49</c:v>
                </c:pt>
                <c:pt idx="107">
                  <c:v>232.56</c:v>
                </c:pt>
                <c:pt idx="108">
                  <c:v>232.14</c:v>
                </c:pt>
                <c:pt idx="109">
                  <c:v>229.72</c:v>
                </c:pt>
                <c:pt idx="110">
                  <c:v>238.47</c:v>
                </c:pt>
                <c:pt idx="111">
                  <c:v>239.78</c:v>
                </c:pt>
                <c:pt idx="112">
                  <c:v>239.69</c:v>
                </c:pt>
                <c:pt idx="113">
                  <c:v>237.88</c:v>
                </c:pt>
                <c:pt idx="114">
                  <c:v>234.35</c:v>
                </c:pt>
                <c:pt idx="115">
                  <c:v>226.79</c:v>
                </c:pt>
                <c:pt idx="116">
                  <c:v>230.03</c:v>
                </c:pt>
                <c:pt idx="117">
                  <c:v>234.07</c:v>
                </c:pt>
                <c:pt idx="118">
                  <c:v>236.7</c:v>
                </c:pt>
                <c:pt idx="119">
                  <c:v>238.15</c:v>
                </c:pt>
                <c:pt idx="120">
                  <c:v>238.99</c:v>
                </c:pt>
                <c:pt idx="121">
                  <c:v>237.88</c:v>
                </c:pt>
                <c:pt idx="122">
                  <c:v>245.5</c:v>
                </c:pt>
                <c:pt idx="123">
                  <c:v>256.08</c:v>
                </c:pt>
                <c:pt idx="124">
                  <c:v>254.43</c:v>
                </c:pt>
                <c:pt idx="125">
                  <c:v>252.31</c:v>
                </c:pt>
                <c:pt idx="126">
                  <c:v>256.87</c:v>
                </c:pt>
                <c:pt idx="127">
                  <c:v>255.46</c:v>
                </c:pt>
                <c:pt idx="128">
                  <c:v>254.43</c:v>
                </c:pt>
                <c:pt idx="129">
                  <c:v>254.63</c:v>
                </c:pt>
                <c:pt idx="130">
                  <c:v>255.45</c:v>
                </c:pt>
                <c:pt idx="131">
                  <c:v>257.13</c:v>
                </c:pt>
                <c:pt idx="132">
                  <c:v>258.02</c:v>
                </c:pt>
                <c:pt idx="133">
                  <c:v>256.69</c:v>
                </c:pt>
                <c:pt idx="134">
                  <c:v>256.48</c:v>
                </c:pt>
                <c:pt idx="135">
                  <c:v>258.06</c:v>
                </c:pt>
                <c:pt idx="136">
                  <c:v>254.04</c:v>
                </c:pt>
                <c:pt idx="137">
                  <c:v>245.27</c:v>
                </c:pt>
                <c:pt idx="138">
                  <c:v>247.66</c:v>
                </c:pt>
                <c:pt idx="139">
                  <c:v>247.77</c:v>
                </c:pt>
                <c:pt idx="140">
                  <c:v>249.34</c:v>
                </c:pt>
                <c:pt idx="141">
                  <c:v>247.45</c:v>
                </c:pt>
                <c:pt idx="142">
                  <c:v>252.29</c:v>
                </c:pt>
                <c:pt idx="143">
                  <c:v>262.24</c:v>
                </c:pt>
                <c:pt idx="144">
                  <c:v>262.77</c:v>
                </c:pt>
                <c:pt idx="145">
                  <c:v>258.45</c:v>
                </c:pt>
                <c:pt idx="146">
                  <c:v>259.58</c:v>
                </c:pt>
                <c:pt idx="147">
                  <c:v>262.82</c:v>
                </c:pt>
                <c:pt idx="148">
                  <c:v>268.81</c:v>
                </c:pt>
                <c:pt idx="149">
                  <c:v>269</c:v>
                </c:pt>
                <c:pt idx="150">
                  <c:v>269.7</c:v>
                </c:pt>
                <c:pt idx="151">
                  <c:v>271.39999999999998</c:v>
                </c:pt>
                <c:pt idx="152">
                  <c:v>270.37</c:v>
                </c:pt>
                <c:pt idx="153">
                  <c:v>269.05</c:v>
                </c:pt>
                <c:pt idx="154">
                  <c:v>270.04000000000002</c:v>
                </c:pt>
                <c:pt idx="155">
                  <c:v>270.14</c:v>
                </c:pt>
                <c:pt idx="156">
                  <c:v>269.77</c:v>
                </c:pt>
                <c:pt idx="157">
                  <c:v>268.47000000000003</c:v>
                </c:pt>
                <c:pt idx="158">
                  <c:v>269.43</c:v>
                </c:pt>
                <c:pt idx="159">
                  <c:v>275.25</c:v>
                </c:pt>
                <c:pt idx="160">
                  <c:v>273.47000000000003</c:v>
                </c:pt>
                <c:pt idx="161">
                  <c:v>272.95</c:v>
                </c:pt>
                <c:pt idx="162">
                  <c:v>272.41000000000003</c:v>
                </c:pt>
                <c:pt idx="163">
                  <c:v>267.45999999999998</c:v>
                </c:pt>
                <c:pt idx="164">
                  <c:v>267.44</c:v>
                </c:pt>
                <c:pt idx="165">
                  <c:v>268.56</c:v>
                </c:pt>
                <c:pt idx="166">
                  <c:v>266.25</c:v>
                </c:pt>
                <c:pt idx="167">
                  <c:v>271.49</c:v>
                </c:pt>
                <c:pt idx="168">
                  <c:v>275.92</c:v>
                </c:pt>
                <c:pt idx="169">
                  <c:v>276.97000000000003</c:v>
                </c:pt>
                <c:pt idx="170">
                  <c:v>277.55</c:v>
                </c:pt>
                <c:pt idx="171">
                  <c:v>278.85000000000002</c:v>
                </c:pt>
                <c:pt idx="172">
                  <c:v>283.10000000000002</c:v>
                </c:pt>
                <c:pt idx="173">
                  <c:v>286.19</c:v>
                </c:pt>
                <c:pt idx="174">
                  <c:v>284.14999999999998</c:v>
                </c:pt>
                <c:pt idx="175">
                  <c:v>280.7</c:v>
                </c:pt>
                <c:pt idx="176">
                  <c:v>278.77999999999997</c:v>
                </c:pt>
                <c:pt idx="177">
                  <c:v>277.89</c:v>
                </c:pt>
                <c:pt idx="178">
                  <c:v>277.18</c:v>
                </c:pt>
                <c:pt idx="179">
                  <c:v>278.77999999999997</c:v>
                </c:pt>
                <c:pt idx="180">
                  <c:v>278.02999999999997</c:v>
                </c:pt>
                <c:pt idx="181">
                  <c:v>278.27999999999997</c:v>
                </c:pt>
                <c:pt idx="182">
                  <c:v>274.11</c:v>
                </c:pt>
                <c:pt idx="183">
                  <c:v>274.61</c:v>
                </c:pt>
                <c:pt idx="184">
                  <c:v>271.83999999999997</c:v>
                </c:pt>
                <c:pt idx="185">
                  <c:v>272.19</c:v>
                </c:pt>
                <c:pt idx="186">
                  <c:v>273.67</c:v>
                </c:pt>
                <c:pt idx="187">
                  <c:v>270.97000000000003</c:v>
                </c:pt>
                <c:pt idx="188">
                  <c:v>272.36</c:v>
                </c:pt>
                <c:pt idx="189">
                  <c:v>273.81</c:v>
                </c:pt>
                <c:pt idx="190">
                  <c:v>273.39999999999998</c:v>
                </c:pt>
                <c:pt idx="191">
                  <c:v>273.76</c:v>
                </c:pt>
                <c:pt idx="192">
                  <c:v>273.08</c:v>
                </c:pt>
                <c:pt idx="193">
                  <c:v>271.86</c:v>
                </c:pt>
                <c:pt idx="194">
                  <c:v>271.01</c:v>
                </c:pt>
                <c:pt idx="195">
                  <c:v>267.26</c:v>
                </c:pt>
                <c:pt idx="196">
                  <c:v>262.36</c:v>
                </c:pt>
                <c:pt idx="197">
                  <c:v>260.33</c:v>
                </c:pt>
                <c:pt idx="198">
                  <c:v>259.04000000000002</c:v>
                </c:pt>
                <c:pt idx="199">
                  <c:v>259.37</c:v>
                </c:pt>
                <c:pt idx="200">
                  <c:v>260.25</c:v>
                </c:pt>
                <c:pt idx="201">
                  <c:v>261.05</c:v>
                </c:pt>
                <c:pt idx="202">
                  <c:v>259.95999999999998</c:v>
                </c:pt>
                <c:pt idx="203">
                  <c:v>258.20999999999998</c:v>
                </c:pt>
                <c:pt idx="204">
                  <c:v>255.53</c:v>
                </c:pt>
                <c:pt idx="205">
                  <c:v>246.7</c:v>
                </c:pt>
                <c:pt idx="206">
                  <c:v>247.65</c:v>
                </c:pt>
                <c:pt idx="207">
                  <c:v>248.35</c:v>
                </c:pt>
                <c:pt idx="208">
                  <c:v>248.04</c:v>
                </c:pt>
                <c:pt idx="209">
                  <c:v>255.41</c:v>
                </c:pt>
                <c:pt idx="210">
                  <c:v>258.27</c:v>
                </c:pt>
                <c:pt idx="211">
                  <c:v>256.44</c:v>
                </c:pt>
                <c:pt idx="212">
                  <c:v>258.27999999999997</c:v>
                </c:pt>
                <c:pt idx="213">
                  <c:v>259.48</c:v>
                </c:pt>
                <c:pt idx="214">
                  <c:v>270.01</c:v>
                </c:pt>
                <c:pt idx="215">
                  <c:v>269.48</c:v>
                </c:pt>
                <c:pt idx="216">
                  <c:v>276.49</c:v>
                </c:pt>
                <c:pt idx="217">
                  <c:v>275.91000000000003</c:v>
                </c:pt>
                <c:pt idx="218">
                  <c:v>278.12</c:v>
                </c:pt>
                <c:pt idx="219">
                  <c:v>274.62</c:v>
                </c:pt>
                <c:pt idx="220">
                  <c:v>273.68</c:v>
                </c:pt>
                <c:pt idx="221">
                  <c:v>275.5</c:v>
                </c:pt>
                <c:pt idx="222">
                  <c:v>261.73</c:v>
                </c:pt>
                <c:pt idx="223">
                  <c:v>255.78</c:v>
                </c:pt>
                <c:pt idx="224">
                  <c:v>263.88</c:v>
                </c:pt>
                <c:pt idx="225">
                  <c:v>264.35000000000002</c:v>
                </c:pt>
                <c:pt idx="226">
                  <c:v>260.58</c:v>
                </c:pt>
                <c:pt idx="227">
                  <c:v>264.58</c:v>
                </c:pt>
                <c:pt idx="228">
                  <c:v>266.18</c:v>
                </c:pt>
                <c:pt idx="229">
                  <c:v>272.14</c:v>
                </c:pt>
                <c:pt idx="230">
                  <c:v>274.23</c:v>
                </c:pt>
                <c:pt idx="231">
                  <c:v>272.95</c:v>
                </c:pt>
                <c:pt idx="232">
                  <c:v>264.18</c:v>
                </c:pt>
                <c:pt idx="233">
                  <c:v>264.72000000000003</c:v>
                </c:pt>
                <c:pt idx="234">
                  <c:v>263.75</c:v>
                </c:pt>
                <c:pt idx="235">
                  <c:v>262.52</c:v>
                </c:pt>
                <c:pt idx="236">
                  <c:v>260.29000000000002</c:v>
                </c:pt>
                <c:pt idx="237">
                  <c:v>257.45999999999998</c:v>
                </c:pt>
                <c:pt idx="238">
                  <c:v>259.88</c:v>
                </c:pt>
                <c:pt idx="239">
                  <c:v>260.83</c:v>
                </c:pt>
                <c:pt idx="240">
                  <c:v>260.81</c:v>
                </c:pt>
                <c:pt idx="241">
                  <c:v>255.76</c:v>
                </c:pt>
                <c:pt idx="242">
                  <c:v>250.12</c:v>
                </c:pt>
                <c:pt idx="243">
                  <c:v>252.82</c:v>
                </c:pt>
                <c:pt idx="244">
                  <c:v>254.23</c:v>
                </c:pt>
                <c:pt idx="245">
                  <c:v>249.94</c:v>
                </c:pt>
                <c:pt idx="246">
                  <c:v>248.96</c:v>
                </c:pt>
                <c:pt idx="247">
                  <c:v>247.99</c:v>
                </c:pt>
                <c:pt idx="248">
                  <c:v>251.49</c:v>
                </c:pt>
                <c:pt idx="249">
                  <c:v>251.64</c:v>
                </c:pt>
                <c:pt idx="250">
                  <c:v>252.62</c:v>
                </c:pt>
              </c:numCache>
            </c:numRef>
          </c:val>
          <c:smooth val="0"/>
          <c:extLst>
            <c:ext xmlns:c16="http://schemas.microsoft.com/office/drawing/2014/chart" uri="{C3380CC4-5D6E-409C-BE32-E72D297353CC}">
              <c16:uniqueId val="{00000000-B53B-6E47-B378-A50C641BC9F2}"/>
            </c:ext>
          </c:extLst>
        </c:ser>
        <c:ser>
          <c:idx val="1"/>
          <c:order val="1"/>
          <c:tx>
            <c:v>AAPL Sim</c:v>
          </c:tx>
          <c:cat>
            <c:strLit>
              <c:ptCount val="1"/>
              <c:pt idx="0">
                <c:v>A2:A252</c:v>
              </c:pt>
            </c:strLit>
          </c:cat>
          <c:val>
            <c:numRef>
              <c:f>[1]Sheet1!$J$2:$J$252</c:f>
              <c:numCache>
                <c:formatCode>General</c:formatCode>
                <c:ptCount val="251"/>
                <c:pt idx="0">
                  <c:v>221.53</c:v>
                </c:pt>
                <c:pt idx="1">
                  <c:v>225.56400502000568</c:v>
                </c:pt>
                <c:pt idx="2">
                  <c:v>229.51472209068424</c:v>
                </c:pt>
                <c:pt idx="3">
                  <c:v>230.84413495981929</c:v>
                </c:pt>
                <c:pt idx="4">
                  <c:v>216.3690782668516</c:v>
                </c:pt>
                <c:pt idx="5">
                  <c:v>217.74796134055498</c:v>
                </c:pt>
                <c:pt idx="6">
                  <c:v>217.06755657794227</c:v>
                </c:pt>
                <c:pt idx="7">
                  <c:v>217.63983999210481</c:v>
                </c:pt>
                <c:pt idx="8">
                  <c:v>228.07267124905201</c:v>
                </c:pt>
                <c:pt idx="9">
                  <c:v>221.1846060530001</c:v>
                </c:pt>
                <c:pt idx="10">
                  <c:v>218.89296708015442</c:v>
                </c:pt>
                <c:pt idx="11">
                  <c:v>224.04329428735539</c:v>
                </c:pt>
                <c:pt idx="12">
                  <c:v>222.64960369905742</c:v>
                </c:pt>
                <c:pt idx="13">
                  <c:v>217.73600893021268</c:v>
                </c:pt>
                <c:pt idx="14">
                  <c:v>216.36458356739294</c:v>
                </c:pt>
                <c:pt idx="15">
                  <c:v>217.49300533187576</c:v>
                </c:pt>
                <c:pt idx="16">
                  <c:v>214.99646039874619</c:v>
                </c:pt>
                <c:pt idx="17">
                  <c:v>218.81560847762657</c:v>
                </c:pt>
                <c:pt idx="18">
                  <c:v>221.33403866218652</c:v>
                </c:pt>
                <c:pt idx="19">
                  <c:v>226.2386332616978</c:v>
                </c:pt>
                <c:pt idx="20">
                  <c:v>222.8279898766088</c:v>
                </c:pt>
                <c:pt idx="21">
                  <c:v>226.01907161908446</c:v>
                </c:pt>
                <c:pt idx="22">
                  <c:v>229.34638248279813</c:v>
                </c:pt>
                <c:pt idx="23">
                  <c:v>227.88887773152433</c:v>
                </c:pt>
                <c:pt idx="24">
                  <c:v>225.6139076258716</c:v>
                </c:pt>
                <c:pt idx="25">
                  <c:v>219.39336247122858</c:v>
                </c:pt>
                <c:pt idx="26">
                  <c:v>220.10316385333516</c:v>
                </c:pt>
                <c:pt idx="27">
                  <c:v>224.4732469372662</c:v>
                </c:pt>
                <c:pt idx="28">
                  <c:v>228.47158035361906</c:v>
                </c:pt>
                <c:pt idx="29">
                  <c:v>230.06370113501106</c:v>
                </c:pt>
                <c:pt idx="30">
                  <c:v>229.72657172833283</c:v>
                </c:pt>
                <c:pt idx="31">
                  <c:v>226.68765193313047</c:v>
                </c:pt>
                <c:pt idx="32">
                  <c:v>230.44966737191214</c:v>
                </c:pt>
                <c:pt idx="33">
                  <c:v>233.86361443784125</c:v>
                </c:pt>
                <c:pt idx="34">
                  <c:v>236.92294823034337</c:v>
                </c:pt>
                <c:pt idx="35">
                  <c:v>236.5231256046329</c:v>
                </c:pt>
                <c:pt idx="36">
                  <c:v>231.3180690042818</c:v>
                </c:pt>
                <c:pt idx="37">
                  <c:v>233.45584162559541</c:v>
                </c:pt>
                <c:pt idx="38">
                  <c:v>230.14136764267735</c:v>
                </c:pt>
                <c:pt idx="39">
                  <c:v>238.14303618366705</c:v>
                </c:pt>
                <c:pt idx="40">
                  <c:v>242.51604116732241</c:v>
                </c:pt>
                <c:pt idx="41">
                  <c:v>240.81133931998136</c:v>
                </c:pt>
                <c:pt idx="42">
                  <c:v>241.96560878479889</c:v>
                </c:pt>
                <c:pt idx="43">
                  <c:v>243.43650420545717</c:v>
                </c:pt>
                <c:pt idx="44">
                  <c:v>244.72978356576613</c:v>
                </c:pt>
                <c:pt idx="45">
                  <c:v>241.07819251327533</c:v>
                </c:pt>
                <c:pt idx="46">
                  <c:v>236.05254821015214</c:v>
                </c:pt>
                <c:pt idx="47">
                  <c:v>234.95219216413412</c:v>
                </c:pt>
                <c:pt idx="48">
                  <c:v>226.0939563631147</c:v>
                </c:pt>
                <c:pt idx="49">
                  <c:v>224.4367160746703</c:v>
                </c:pt>
                <c:pt idx="50">
                  <c:v>221.28185933134264</c:v>
                </c:pt>
                <c:pt idx="51">
                  <c:v>219.28278995941017</c:v>
                </c:pt>
                <c:pt idx="52">
                  <c:v>224.7195954495009</c:v>
                </c:pt>
                <c:pt idx="53">
                  <c:v>226.6124247891378</c:v>
                </c:pt>
                <c:pt idx="54">
                  <c:v>219.26397255022451</c:v>
                </c:pt>
                <c:pt idx="55">
                  <c:v>218.80686025409429</c:v>
                </c:pt>
                <c:pt idx="56">
                  <c:v>211.31686633020806</c:v>
                </c:pt>
                <c:pt idx="57">
                  <c:v>215.73162399453224</c:v>
                </c:pt>
                <c:pt idx="58">
                  <c:v>218.74450910585108</c:v>
                </c:pt>
                <c:pt idx="59">
                  <c:v>218.5448940250491</c:v>
                </c:pt>
                <c:pt idx="60">
                  <c:v>219.48465156236696</c:v>
                </c:pt>
                <c:pt idx="61">
                  <c:v>215.13798281531993</c:v>
                </c:pt>
                <c:pt idx="62">
                  <c:v>204.77596239294684</c:v>
                </c:pt>
                <c:pt idx="63">
                  <c:v>210.75382875678449</c:v>
                </c:pt>
                <c:pt idx="64">
                  <c:v>210.56664887413987</c:v>
                </c:pt>
                <c:pt idx="65">
                  <c:v>204.6205062552049</c:v>
                </c:pt>
                <c:pt idx="66">
                  <c:v>205.93641308544068</c:v>
                </c:pt>
                <c:pt idx="67">
                  <c:v>202.08027472991145</c:v>
                </c:pt>
                <c:pt idx="68">
                  <c:v>201.05232110669252</c:v>
                </c:pt>
                <c:pt idx="69">
                  <c:v>200.76803875518451</c:v>
                </c:pt>
                <c:pt idx="70">
                  <c:v>201.07394961394749</c:v>
                </c:pt>
                <c:pt idx="71">
                  <c:v>203.62282949061654</c:v>
                </c:pt>
                <c:pt idx="72">
                  <c:v>204.40487289649607</c:v>
                </c:pt>
                <c:pt idx="73">
                  <c:v>199.7251036581109</c:v>
                </c:pt>
                <c:pt idx="74">
                  <c:v>194.24334765710299</c:v>
                </c:pt>
                <c:pt idx="75">
                  <c:v>192.57689839013102</c:v>
                </c:pt>
                <c:pt idx="76">
                  <c:v>192.85290829652001</c:v>
                </c:pt>
                <c:pt idx="77">
                  <c:v>192.85554833985717</c:v>
                </c:pt>
                <c:pt idx="78">
                  <c:v>190.90507300631012</c:v>
                </c:pt>
                <c:pt idx="79">
                  <c:v>190.97774517879631</c:v>
                </c:pt>
                <c:pt idx="80">
                  <c:v>189.9684686367477</c:v>
                </c:pt>
                <c:pt idx="81">
                  <c:v>190.97598849856158</c:v>
                </c:pt>
                <c:pt idx="82">
                  <c:v>188.38596778117622</c:v>
                </c:pt>
                <c:pt idx="83">
                  <c:v>190.94467729682313</c:v>
                </c:pt>
                <c:pt idx="84">
                  <c:v>188.58808843137083</c:v>
                </c:pt>
                <c:pt idx="85">
                  <c:v>183.36358783035257</c:v>
                </c:pt>
                <c:pt idx="86">
                  <c:v>183.02583150574972</c:v>
                </c:pt>
                <c:pt idx="87">
                  <c:v>181.15165643244362</c:v>
                </c:pt>
                <c:pt idx="88">
                  <c:v>182.25333801291848</c:v>
                </c:pt>
                <c:pt idx="89">
                  <c:v>180.80295060932266</c:v>
                </c:pt>
                <c:pt idx="90">
                  <c:v>176.81615748867597</c:v>
                </c:pt>
                <c:pt idx="91">
                  <c:v>181.80661698178525</c:v>
                </c:pt>
                <c:pt idx="92">
                  <c:v>174.56824119500732</c:v>
                </c:pt>
                <c:pt idx="93">
                  <c:v>173.9960635205174</c:v>
                </c:pt>
                <c:pt idx="94">
                  <c:v>172.31851003283379</c:v>
                </c:pt>
                <c:pt idx="95">
                  <c:v>172.56058780310741</c:v>
                </c:pt>
                <c:pt idx="96">
                  <c:v>171.12375546023259</c:v>
                </c:pt>
                <c:pt idx="97">
                  <c:v>164.36209240336319</c:v>
                </c:pt>
                <c:pt idx="98">
                  <c:v>162.91208626536371</c:v>
                </c:pt>
                <c:pt idx="99">
                  <c:v>163.49130962607705</c:v>
                </c:pt>
                <c:pt idx="100">
                  <c:v>166.56061889576395</c:v>
                </c:pt>
                <c:pt idx="101">
                  <c:v>162.50261743512914</c:v>
                </c:pt>
                <c:pt idx="102">
                  <c:v>162.53599794627775</c:v>
                </c:pt>
                <c:pt idx="103">
                  <c:v>160.94865580010443</c:v>
                </c:pt>
                <c:pt idx="104">
                  <c:v>161.16029710103544</c:v>
                </c:pt>
                <c:pt idx="105">
                  <c:v>156.11789900206651</c:v>
                </c:pt>
                <c:pt idx="106">
                  <c:v>153.03790466071374</c:v>
                </c:pt>
                <c:pt idx="107">
                  <c:v>154.51580074205231</c:v>
                </c:pt>
                <c:pt idx="108">
                  <c:v>154.11359967652609</c:v>
                </c:pt>
                <c:pt idx="109">
                  <c:v>155.72643727324311</c:v>
                </c:pt>
                <c:pt idx="110">
                  <c:v>157.13488737375943</c:v>
                </c:pt>
                <c:pt idx="111">
                  <c:v>159.31893374783184</c:v>
                </c:pt>
                <c:pt idx="112">
                  <c:v>156.18237857171607</c:v>
                </c:pt>
                <c:pt idx="113">
                  <c:v>150.85402169918146</c:v>
                </c:pt>
                <c:pt idx="114">
                  <c:v>146.78018901969483</c:v>
                </c:pt>
                <c:pt idx="115">
                  <c:v>144.29264698188373</c:v>
                </c:pt>
                <c:pt idx="116">
                  <c:v>143.07537900929191</c:v>
                </c:pt>
                <c:pt idx="117">
                  <c:v>144.54798606632983</c:v>
                </c:pt>
                <c:pt idx="118">
                  <c:v>152.96321302165202</c:v>
                </c:pt>
                <c:pt idx="119">
                  <c:v>158.49426322677598</c:v>
                </c:pt>
                <c:pt idx="120">
                  <c:v>162.60130879186497</c:v>
                </c:pt>
                <c:pt idx="121">
                  <c:v>164.43802447170759</c:v>
                </c:pt>
                <c:pt idx="122">
                  <c:v>165.21320628307237</c:v>
                </c:pt>
                <c:pt idx="123">
                  <c:v>166.47790429955757</c:v>
                </c:pt>
                <c:pt idx="124">
                  <c:v>160.44259906608215</c:v>
                </c:pt>
                <c:pt idx="125">
                  <c:v>165.61775885727872</c:v>
                </c:pt>
                <c:pt idx="126">
                  <c:v>166.94141630930878</c:v>
                </c:pt>
                <c:pt idx="127">
                  <c:v>167.43896150066601</c:v>
                </c:pt>
                <c:pt idx="128">
                  <c:v>169.37943279795721</c:v>
                </c:pt>
                <c:pt idx="129">
                  <c:v>166.39535164764482</c:v>
                </c:pt>
                <c:pt idx="130">
                  <c:v>172.535286613777</c:v>
                </c:pt>
                <c:pt idx="131">
                  <c:v>165.39456335771325</c:v>
                </c:pt>
                <c:pt idx="132">
                  <c:v>166.16510507434083</c:v>
                </c:pt>
                <c:pt idx="133">
                  <c:v>167.10995387309163</c:v>
                </c:pt>
                <c:pt idx="134">
                  <c:v>165.48864290017838</c:v>
                </c:pt>
                <c:pt idx="135">
                  <c:v>170.43906328810226</c:v>
                </c:pt>
                <c:pt idx="136">
                  <c:v>169.36194248412085</c:v>
                </c:pt>
                <c:pt idx="137">
                  <c:v>166.32400777200812</c:v>
                </c:pt>
                <c:pt idx="138">
                  <c:v>163.28410796728889</c:v>
                </c:pt>
                <c:pt idx="139">
                  <c:v>163.76312855749541</c:v>
                </c:pt>
                <c:pt idx="140">
                  <c:v>162.67870521219393</c:v>
                </c:pt>
                <c:pt idx="141">
                  <c:v>160.58304560556371</c:v>
                </c:pt>
                <c:pt idx="142">
                  <c:v>156.8023720325584</c:v>
                </c:pt>
                <c:pt idx="143">
                  <c:v>161.381395703077</c:v>
                </c:pt>
                <c:pt idx="144">
                  <c:v>159.24948900895055</c:v>
                </c:pt>
                <c:pt idx="145">
                  <c:v>160.70340879175635</c:v>
                </c:pt>
                <c:pt idx="146">
                  <c:v>162.7770837299567</c:v>
                </c:pt>
                <c:pt idx="147">
                  <c:v>163.87616829663429</c:v>
                </c:pt>
                <c:pt idx="148">
                  <c:v>165.75508372815011</c:v>
                </c:pt>
                <c:pt idx="149">
                  <c:v>163.80939853377441</c:v>
                </c:pt>
                <c:pt idx="150">
                  <c:v>165.25004591505513</c:v>
                </c:pt>
                <c:pt idx="151">
                  <c:v>171.84763660929428</c:v>
                </c:pt>
                <c:pt idx="152">
                  <c:v>173.95497412252365</c:v>
                </c:pt>
                <c:pt idx="153">
                  <c:v>177.86101861946344</c:v>
                </c:pt>
                <c:pt idx="154">
                  <c:v>178.49081952535261</c:v>
                </c:pt>
                <c:pt idx="155">
                  <c:v>173.81505143812433</c:v>
                </c:pt>
                <c:pt idx="156">
                  <c:v>176.91152563914267</c:v>
                </c:pt>
                <c:pt idx="157">
                  <c:v>178.29074364729018</c:v>
                </c:pt>
                <c:pt idx="158">
                  <c:v>177.03416096412769</c:v>
                </c:pt>
                <c:pt idx="159">
                  <c:v>172.96646632892518</c:v>
                </c:pt>
                <c:pt idx="160">
                  <c:v>168.7476234175144</c:v>
                </c:pt>
                <c:pt idx="161">
                  <c:v>168.4610952207853</c:v>
                </c:pt>
                <c:pt idx="162">
                  <c:v>166.88772260803327</c:v>
                </c:pt>
                <c:pt idx="163">
                  <c:v>169.12485423033769</c:v>
                </c:pt>
                <c:pt idx="164">
                  <c:v>169.07779456725362</c:v>
                </c:pt>
                <c:pt idx="165">
                  <c:v>168.62837834714747</c:v>
                </c:pt>
                <c:pt idx="166">
                  <c:v>168.22338861060223</c:v>
                </c:pt>
                <c:pt idx="167">
                  <c:v>168.05820530752132</c:v>
                </c:pt>
                <c:pt idx="168">
                  <c:v>167.54247404229054</c:v>
                </c:pt>
                <c:pt idx="169">
                  <c:v>170.73789914612988</c:v>
                </c:pt>
                <c:pt idx="170">
                  <c:v>173.90123306127839</c:v>
                </c:pt>
                <c:pt idx="171">
                  <c:v>172.57454450337917</c:v>
                </c:pt>
                <c:pt idx="172">
                  <c:v>171.15505855118698</c:v>
                </c:pt>
                <c:pt idx="173">
                  <c:v>173.28585859305682</c:v>
                </c:pt>
                <c:pt idx="174">
                  <c:v>166.20657586064232</c:v>
                </c:pt>
                <c:pt idx="175">
                  <c:v>163.4647786072087</c:v>
                </c:pt>
                <c:pt idx="176">
                  <c:v>161.13731649976759</c:v>
                </c:pt>
                <c:pt idx="177">
                  <c:v>159.67214439913704</c:v>
                </c:pt>
                <c:pt idx="178">
                  <c:v>161.4223306167666</c:v>
                </c:pt>
                <c:pt idx="179">
                  <c:v>161.3225723776853</c:v>
                </c:pt>
                <c:pt idx="180">
                  <c:v>163.81439827153196</c:v>
                </c:pt>
                <c:pt idx="181">
                  <c:v>167.56569652269818</c:v>
                </c:pt>
                <c:pt idx="182">
                  <c:v>170.5917637560344</c:v>
                </c:pt>
                <c:pt idx="183">
                  <c:v>172.32317718901268</c:v>
                </c:pt>
                <c:pt idx="184">
                  <c:v>176.42690164515096</c:v>
                </c:pt>
                <c:pt idx="185">
                  <c:v>185.49266870123935</c:v>
                </c:pt>
                <c:pt idx="186">
                  <c:v>185.79106789979991</c:v>
                </c:pt>
                <c:pt idx="187">
                  <c:v>188.59308450539496</c:v>
                </c:pt>
                <c:pt idx="188">
                  <c:v>186.31082908656558</c:v>
                </c:pt>
                <c:pt idx="189">
                  <c:v>182.04335209975747</c:v>
                </c:pt>
                <c:pt idx="190">
                  <c:v>178.39136051509738</c:v>
                </c:pt>
                <c:pt idx="191">
                  <c:v>180.55303583652434</c:v>
                </c:pt>
                <c:pt idx="192">
                  <c:v>180.27498116346925</c:v>
                </c:pt>
                <c:pt idx="193">
                  <c:v>187.99456663132474</c:v>
                </c:pt>
                <c:pt idx="194">
                  <c:v>188.74482884048442</c:v>
                </c:pt>
                <c:pt idx="195">
                  <c:v>193.03983042498865</c:v>
                </c:pt>
                <c:pt idx="196">
                  <c:v>187.79242517391816</c:v>
                </c:pt>
                <c:pt idx="197">
                  <c:v>186.12688432837413</c:v>
                </c:pt>
                <c:pt idx="198">
                  <c:v>184.07685525685406</c:v>
                </c:pt>
                <c:pt idx="199">
                  <c:v>186.54465664381803</c:v>
                </c:pt>
                <c:pt idx="200">
                  <c:v>195.95906056540835</c:v>
                </c:pt>
                <c:pt idx="201">
                  <c:v>190.41258216529732</c:v>
                </c:pt>
                <c:pt idx="202">
                  <c:v>190.19333865050652</c:v>
                </c:pt>
                <c:pt idx="203">
                  <c:v>197.58543783904753</c:v>
                </c:pt>
                <c:pt idx="204">
                  <c:v>196.91493746636823</c:v>
                </c:pt>
                <c:pt idx="205">
                  <c:v>197.95926556594998</c:v>
                </c:pt>
                <c:pt idx="206">
                  <c:v>197.87458792127848</c:v>
                </c:pt>
                <c:pt idx="207">
                  <c:v>196.39619680105764</c:v>
                </c:pt>
                <c:pt idx="208">
                  <c:v>191.33844980917928</c:v>
                </c:pt>
                <c:pt idx="209">
                  <c:v>196.50517361700705</c:v>
                </c:pt>
                <c:pt idx="210">
                  <c:v>189.8384068519407</c:v>
                </c:pt>
                <c:pt idx="211">
                  <c:v>190.0353594877713</c:v>
                </c:pt>
                <c:pt idx="212">
                  <c:v>187.07577184496347</c:v>
                </c:pt>
                <c:pt idx="213">
                  <c:v>186.53969406247305</c:v>
                </c:pt>
                <c:pt idx="214">
                  <c:v>184.44999657286397</c:v>
                </c:pt>
                <c:pt idx="215">
                  <c:v>184.28451717983802</c:v>
                </c:pt>
                <c:pt idx="216">
                  <c:v>186.59722216975294</c:v>
                </c:pt>
                <c:pt idx="217">
                  <c:v>188.65919534969302</c:v>
                </c:pt>
                <c:pt idx="218">
                  <c:v>187.0654030907701</c:v>
                </c:pt>
                <c:pt idx="219">
                  <c:v>190.67922316061811</c:v>
                </c:pt>
                <c:pt idx="220">
                  <c:v>190.34226071336181</c:v>
                </c:pt>
                <c:pt idx="221">
                  <c:v>188.67347037976987</c:v>
                </c:pt>
                <c:pt idx="222">
                  <c:v>186.87502501534271</c:v>
                </c:pt>
                <c:pt idx="223">
                  <c:v>185.01262620051583</c:v>
                </c:pt>
                <c:pt idx="224">
                  <c:v>188.78955960792459</c:v>
                </c:pt>
                <c:pt idx="225">
                  <c:v>195.55663406869616</c:v>
                </c:pt>
                <c:pt idx="226">
                  <c:v>196.96276666586544</c:v>
                </c:pt>
                <c:pt idx="227">
                  <c:v>195.45573002759082</c:v>
                </c:pt>
                <c:pt idx="228">
                  <c:v>201.80882196579009</c:v>
                </c:pt>
                <c:pt idx="229">
                  <c:v>196.75124268204107</c:v>
                </c:pt>
                <c:pt idx="230">
                  <c:v>200.135359771911</c:v>
                </c:pt>
                <c:pt idx="231">
                  <c:v>194.51683533496188</c:v>
                </c:pt>
                <c:pt idx="232">
                  <c:v>193.0449261473332</c:v>
                </c:pt>
                <c:pt idx="233">
                  <c:v>188.68671048971851</c:v>
                </c:pt>
                <c:pt idx="234">
                  <c:v>188.61609224461543</c:v>
                </c:pt>
                <c:pt idx="235">
                  <c:v>192.75939513749481</c:v>
                </c:pt>
                <c:pt idx="236">
                  <c:v>190.75450054124454</c:v>
                </c:pt>
                <c:pt idx="237">
                  <c:v>191.67792427727463</c:v>
                </c:pt>
                <c:pt idx="238">
                  <c:v>187.32887538585192</c:v>
                </c:pt>
                <c:pt idx="239">
                  <c:v>188.55801062394787</c:v>
                </c:pt>
                <c:pt idx="240">
                  <c:v>187.05549589936936</c:v>
                </c:pt>
                <c:pt idx="241">
                  <c:v>189.20217196825834</c:v>
                </c:pt>
                <c:pt idx="242">
                  <c:v>185.95763887512331</c:v>
                </c:pt>
                <c:pt idx="243">
                  <c:v>188.36375609053377</c:v>
                </c:pt>
                <c:pt idx="244">
                  <c:v>195.2496317954691</c:v>
                </c:pt>
                <c:pt idx="245">
                  <c:v>198.18358348412355</c:v>
                </c:pt>
                <c:pt idx="246">
                  <c:v>196.18460851528781</c:v>
                </c:pt>
                <c:pt idx="247">
                  <c:v>192.33774104974884</c:v>
                </c:pt>
                <c:pt idx="248">
                  <c:v>189.5390940311303</c:v>
                </c:pt>
                <c:pt idx="249">
                  <c:v>187.66280594769825</c:v>
                </c:pt>
                <c:pt idx="250">
                  <c:v>183.16142738161295</c:v>
                </c:pt>
              </c:numCache>
            </c:numRef>
          </c:val>
          <c:smooth val="0"/>
          <c:extLst>
            <c:ext xmlns:c16="http://schemas.microsoft.com/office/drawing/2014/chart" uri="{C3380CC4-5D6E-409C-BE32-E72D297353CC}">
              <c16:uniqueId val="{00000001-B53B-6E47-B378-A50C641BC9F2}"/>
            </c:ext>
          </c:extLst>
        </c:ser>
        <c:dLbls>
          <c:showLegendKey val="0"/>
          <c:showVal val="0"/>
          <c:showCatName val="0"/>
          <c:showSerName val="0"/>
          <c:showPercent val="0"/>
          <c:showBubbleSize val="0"/>
        </c:dLbls>
        <c:marker val="1"/>
        <c:smooth val="0"/>
        <c:axId val="179321856"/>
        <c:axId val="179779456"/>
      </c:lineChart>
      <c:catAx>
        <c:axId val="179321856"/>
        <c:scaling>
          <c:orientation val="minMax"/>
        </c:scaling>
        <c:delete val="0"/>
        <c:axPos val="b"/>
        <c:numFmt formatCode="General" sourceLinked="0"/>
        <c:majorTickMark val="out"/>
        <c:minorTickMark val="none"/>
        <c:tickLblPos val="nextTo"/>
        <c:crossAx val="179779456"/>
        <c:crosses val="autoZero"/>
        <c:auto val="1"/>
        <c:lblAlgn val="ctr"/>
        <c:lblOffset val="100"/>
        <c:noMultiLvlLbl val="0"/>
      </c:catAx>
      <c:valAx>
        <c:axId val="179779456"/>
        <c:scaling>
          <c:orientation val="minMax"/>
        </c:scaling>
        <c:delete val="0"/>
        <c:axPos val="l"/>
        <c:majorGridlines/>
        <c:numFmt formatCode="General" sourceLinked="1"/>
        <c:majorTickMark val="out"/>
        <c:minorTickMark val="none"/>
        <c:tickLblPos val="nextTo"/>
        <c:crossAx val="179321856"/>
        <c:crosses val="autoZero"/>
        <c:crossBetween val="between"/>
      </c:valAx>
    </c:plotArea>
    <c:legend>
      <c:legendPos val="r"/>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 of TSM Daily Returns</a:t>
            </a:r>
          </a:p>
        </c:rich>
      </c:tx>
      <c:overlay val="0"/>
    </c:title>
    <c:autoTitleDeleted val="0"/>
    <c:plotArea>
      <c:layout/>
      <c:barChart>
        <c:barDir val="col"/>
        <c:grouping val="clustered"/>
        <c:varyColors val="0"/>
        <c:ser>
          <c:idx val="1"/>
          <c:order val="0"/>
          <c:invertIfNegative val="0"/>
          <c:cat>
            <c:numRef>
              <c:f>'Histogram of TSM Daily Returns'!$A$2:$A$14</c:f>
              <c:numCache>
                <c:formatCode>General</c:formatCode>
                <c:ptCount val="13"/>
                <c:pt idx="0">
                  <c:v>-0.06</c:v>
                </c:pt>
                <c:pt idx="1">
                  <c:v>-4.9999999999999996E-2</c:v>
                </c:pt>
                <c:pt idx="2">
                  <c:v>-3.9999999999999994E-2</c:v>
                </c:pt>
                <c:pt idx="3">
                  <c:v>-2.9999999999999992E-2</c:v>
                </c:pt>
                <c:pt idx="4">
                  <c:v>-1.999999999999999E-2</c:v>
                </c:pt>
                <c:pt idx="5">
                  <c:v>-9.9999999999999898E-3</c:v>
                </c:pt>
                <c:pt idx="6">
                  <c:v>0</c:v>
                </c:pt>
                <c:pt idx="7">
                  <c:v>0.01</c:v>
                </c:pt>
                <c:pt idx="8">
                  <c:v>0.02</c:v>
                </c:pt>
                <c:pt idx="9">
                  <c:v>0.03</c:v>
                </c:pt>
                <c:pt idx="10">
                  <c:v>0.04</c:v>
                </c:pt>
                <c:pt idx="11">
                  <c:v>0.05</c:v>
                </c:pt>
                <c:pt idx="12">
                  <c:v>6.0000000000000005E-2</c:v>
                </c:pt>
              </c:numCache>
            </c:numRef>
          </c:cat>
          <c:val>
            <c:numRef>
              <c:f>'Histogram of TSM Daily Returns'!$B$2:$B$14</c:f>
              <c:numCache>
                <c:formatCode>General</c:formatCode>
                <c:ptCount val="13"/>
                <c:pt idx="0">
                  <c:v>3</c:v>
                </c:pt>
                <c:pt idx="1">
                  <c:v>1</c:v>
                </c:pt>
                <c:pt idx="2">
                  <c:v>5</c:v>
                </c:pt>
                <c:pt idx="3">
                  <c:v>8</c:v>
                </c:pt>
                <c:pt idx="4">
                  <c:v>15</c:v>
                </c:pt>
                <c:pt idx="5">
                  <c:v>31</c:v>
                </c:pt>
                <c:pt idx="6">
                  <c:v>52</c:v>
                </c:pt>
                <c:pt idx="7">
                  <c:v>43</c:v>
                </c:pt>
                <c:pt idx="8">
                  <c:v>41</c:v>
                </c:pt>
                <c:pt idx="9">
                  <c:v>22</c:v>
                </c:pt>
                <c:pt idx="10">
                  <c:v>18</c:v>
                </c:pt>
                <c:pt idx="11">
                  <c:v>5</c:v>
                </c:pt>
                <c:pt idx="12">
                  <c:v>3</c:v>
                </c:pt>
              </c:numCache>
            </c:numRef>
          </c:val>
          <c:extLst>
            <c:ext xmlns:c16="http://schemas.microsoft.com/office/drawing/2014/chart" uri="{C3380CC4-5D6E-409C-BE32-E72D297353CC}">
              <c16:uniqueId val="{00000002-8B08-7E42-B831-B050B45F75F4}"/>
            </c:ext>
          </c:extLst>
        </c:ser>
        <c:dLbls>
          <c:showLegendKey val="0"/>
          <c:showVal val="0"/>
          <c:showCatName val="0"/>
          <c:showSerName val="0"/>
          <c:showPercent val="0"/>
          <c:showBubbleSize val="0"/>
        </c:dLbls>
        <c:gapWidth val="150"/>
        <c:axId val="253184191"/>
        <c:axId val="253188671"/>
      </c:barChart>
      <c:catAx>
        <c:axId val="253184191"/>
        <c:scaling>
          <c:orientation val="minMax"/>
        </c:scaling>
        <c:delete val="0"/>
        <c:axPos val="b"/>
        <c:title>
          <c:tx>
            <c:rich>
              <a:bodyPr/>
              <a:lstStyle/>
              <a:p>
                <a:pPr>
                  <a:defRPr/>
                </a:pPr>
                <a:r>
                  <a:rPr lang="en-GB"/>
                  <a:t>Daily Return of TSM</a:t>
                </a:r>
              </a:p>
            </c:rich>
          </c:tx>
          <c:overlay val="0"/>
        </c:title>
        <c:numFmt formatCode="0%" sourceLinked="0"/>
        <c:majorTickMark val="out"/>
        <c:minorTickMark val="none"/>
        <c:tickLblPos val="nextTo"/>
        <c:crossAx val="253188671"/>
        <c:crosses val="autoZero"/>
        <c:auto val="1"/>
        <c:lblAlgn val="ctr"/>
        <c:lblOffset val="100"/>
        <c:noMultiLvlLbl val="0"/>
      </c:catAx>
      <c:valAx>
        <c:axId val="253188671"/>
        <c:scaling>
          <c:orientation val="minMax"/>
        </c:scaling>
        <c:delete val="0"/>
        <c:axPos val="l"/>
        <c:numFmt formatCode="General" sourceLinked="1"/>
        <c:majorTickMark val="out"/>
        <c:minorTickMark val="none"/>
        <c:tickLblPos val="nextTo"/>
        <c:crossAx val="25318419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r>
              <a:rPr lang="en-GB" baseline="0"/>
              <a:t> of F Daily Returns</a:t>
            </a:r>
            <a:endParaRPr lang="en-GB"/>
          </a:p>
        </c:rich>
      </c:tx>
      <c:overlay val="0"/>
    </c:title>
    <c:autoTitleDeleted val="0"/>
    <c:plotArea>
      <c:layout/>
      <c:barChart>
        <c:barDir val="col"/>
        <c:grouping val="clustered"/>
        <c:varyColors val="0"/>
        <c:ser>
          <c:idx val="1"/>
          <c:order val="0"/>
          <c:invertIfNegative val="0"/>
          <c:cat>
            <c:numRef>
              <c:f>'Histogram of F Daily Returns'!$A$2:$A$14</c:f>
              <c:numCache>
                <c:formatCode>General</c:formatCode>
                <c:ptCount val="13"/>
                <c:pt idx="0">
                  <c:v>-0.06</c:v>
                </c:pt>
                <c:pt idx="1">
                  <c:v>-4.9999999999999996E-2</c:v>
                </c:pt>
                <c:pt idx="2">
                  <c:v>-3.9999999999999994E-2</c:v>
                </c:pt>
                <c:pt idx="3">
                  <c:v>-2.9999999999999992E-2</c:v>
                </c:pt>
                <c:pt idx="4">
                  <c:v>-1.999999999999999E-2</c:v>
                </c:pt>
                <c:pt idx="5">
                  <c:v>-9.9999999999999898E-3</c:v>
                </c:pt>
                <c:pt idx="6">
                  <c:v>0</c:v>
                </c:pt>
                <c:pt idx="7">
                  <c:v>0.01</c:v>
                </c:pt>
                <c:pt idx="8">
                  <c:v>0.02</c:v>
                </c:pt>
                <c:pt idx="9">
                  <c:v>0.03</c:v>
                </c:pt>
                <c:pt idx="10">
                  <c:v>0.04</c:v>
                </c:pt>
                <c:pt idx="11">
                  <c:v>0.05</c:v>
                </c:pt>
                <c:pt idx="12">
                  <c:v>6.0000000000000005E-2</c:v>
                </c:pt>
              </c:numCache>
            </c:numRef>
          </c:cat>
          <c:val>
            <c:numRef>
              <c:f>'Histogram of F Daily Returns'!$B$2:$B$14</c:f>
              <c:numCache>
                <c:formatCode>General</c:formatCode>
                <c:ptCount val="13"/>
                <c:pt idx="0">
                  <c:v>3</c:v>
                </c:pt>
                <c:pt idx="1">
                  <c:v>2</c:v>
                </c:pt>
                <c:pt idx="2">
                  <c:v>1</c:v>
                </c:pt>
                <c:pt idx="3">
                  <c:v>7</c:v>
                </c:pt>
                <c:pt idx="4">
                  <c:v>13</c:v>
                </c:pt>
                <c:pt idx="5">
                  <c:v>40</c:v>
                </c:pt>
                <c:pt idx="6">
                  <c:v>57</c:v>
                </c:pt>
                <c:pt idx="7">
                  <c:v>60</c:v>
                </c:pt>
                <c:pt idx="8">
                  <c:v>37</c:v>
                </c:pt>
                <c:pt idx="9">
                  <c:v>14</c:v>
                </c:pt>
                <c:pt idx="10">
                  <c:v>9</c:v>
                </c:pt>
                <c:pt idx="11">
                  <c:v>4</c:v>
                </c:pt>
                <c:pt idx="12">
                  <c:v>0</c:v>
                </c:pt>
              </c:numCache>
            </c:numRef>
          </c:val>
          <c:extLst>
            <c:ext xmlns:c16="http://schemas.microsoft.com/office/drawing/2014/chart" uri="{C3380CC4-5D6E-409C-BE32-E72D297353CC}">
              <c16:uniqueId val="{00000002-39F1-8B4C-A507-2B0E3FBB73AA}"/>
            </c:ext>
          </c:extLst>
        </c:ser>
        <c:dLbls>
          <c:showLegendKey val="0"/>
          <c:showVal val="0"/>
          <c:showCatName val="0"/>
          <c:showSerName val="0"/>
          <c:showPercent val="0"/>
          <c:showBubbleSize val="0"/>
        </c:dLbls>
        <c:gapWidth val="150"/>
        <c:axId val="252854719"/>
        <c:axId val="273366335"/>
      </c:barChart>
      <c:catAx>
        <c:axId val="252854719"/>
        <c:scaling>
          <c:orientation val="minMax"/>
        </c:scaling>
        <c:delete val="0"/>
        <c:axPos val="b"/>
        <c:title>
          <c:tx>
            <c:rich>
              <a:bodyPr/>
              <a:lstStyle/>
              <a:p>
                <a:pPr>
                  <a:defRPr/>
                </a:pPr>
                <a:r>
                  <a:rPr lang="en-GB"/>
                  <a:t>F</a:t>
                </a:r>
                <a:r>
                  <a:rPr lang="en-GB" baseline="0"/>
                  <a:t> Daily Returns (%)</a:t>
                </a:r>
                <a:endParaRPr lang="en-GB"/>
              </a:p>
            </c:rich>
          </c:tx>
          <c:overlay val="0"/>
        </c:title>
        <c:numFmt formatCode="General" sourceLinked="1"/>
        <c:majorTickMark val="out"/>
        <c:minorTickMark val="none"/>
        <c:tickLblPos val="nextTo"/>
        <c:crossAx val="273366335"/>
        <c:crosses val="autoZero"/>
        <c:auto val="1"/>
        <c:lblAlgn val="ctr"/>
        <c:lblOffset val="100"/>
        <c:noMultiLvlLbl val="0"/>
      </c:catAx>
      <c:valAx>
        <c:axId val="273366335"/>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252854719"/>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 of AAPL</a:t>
            </a:r>
            <a:r>
              <a:rPr lang="en-GB" baseline="0"/>
              <a:t> Daily Returns</a:t>
            </a:r>
            <a:endParaRPr lang="en-GB"/>
          </a:p>
        </c:rich>
      </c:tx>
      <c:overlay val="0"/>
    </c:title>
    <c:autoTitleDeleted val="0"/>
    <c:plotArea>
      <c:layout/>
      <c:barChart>
        <c:barDir val="col"/>
        <c:grouping val="clustered"/>
        <c:varyColors val="0"/>
        <c:ser>
          <c:idx val="1"/>
          <c:order val="0"/>
          <c:invertIfNegative val="0"/>
          <c:cat>
            <c:numRef>
              <c:f>'Histogram of AAPL Daily Returns'!$A$2:$A$14</c:f>
              <c:numCache>
                <c:formatCode>General</c:formatCode>
                <c:ptCount val="13"/>
                <c:pt idx="0">
                  <c:v>-0.06</c:v>
                </c:pt>
                <c:pt idx="1">
                  <c:v>-4.9999999999999996E-2</c:v>
                </c:pt>
                <c:pt idx="2">
                  <c:v>-3.9999999999999994E-2</c:v>
                </c:pt>
                <c:pt idx="3">
                  <c:v>-2.9999999999999992E-2</c:v>
                </c:pt>
                <c:pt idx="4">
                  <c:v>-1.999999999999999E-2</c:v>
                </c:pt>
                <c:pt idx="5">
                  <c:v>-9.9999999999999898E-3</c:v>
                </c:pt>
                <c:pt idx="6">
                  <c:v>0</c:v>
                </c:pt>
                <c:pt idx="7">
                  <c:v>0.01</c:v>
                </c:pt>
                <c:pt idx="8">
                  <c:v>0.02</c:v>
                </c:pt>
                <c:pt idx="9">
                  <c:v>0.03</c:v>
                </c:pt>
                <c:pt idx="10">
                  <c:v>0.04</c:v>
                </c:pt>
                <c:pt idx="11">
                  <c:v>0.05</c:v>
                </c:pt>
                <c:pt idx="12">
                  <c:v>6.0000000000000005E-2</c:v>
                </c:pt>
              </c:numCache>
            </c:numRef>
          </c:cat>
          <c:val>
            <c:numRef>
              <c:f>'Histogram of AAPL Daily Returns'!$B$2:$B$14</c:f>
              <c:numCache>
                <c:formatCode>General</c:formatCode>
                <c:ptCount val="13"/>
                <c:pt idx="0">
                  <c:v>2</c:v>
                </c:pt>
                <c:pt idx="1">
                  <c:v>2</c:v>
                </c:pt>
                <c:pt idx="2">
                  <c:v>1</c:v>
                </c:pt>
                <c:pt idx="3">
                  <c:v>9</c:v>
                </c:pt>
                <c:pt idx="4">
                  <c:v>5</c:v>
                </c:pt>
                <c:pt idx="5">
                  <c:v>29</c:v>
                </c:pt>
                <c:pt idx="6">
                  <c:v>70</c:v>
                </c:pt>
                <c:pt idx="7">
                  <c:v>83</c:v>
                </c:pt>
                <c:pt idx="8">
                  <c:v>24</c:v>
                </c:pt>
                <c:pt idx="9">
                  <c:v>11</c:v>
                </c:pt>
                <c:pt idx="10">
                  <c:v>8</c:v>
                </c:pt>
                <c:pt idx="11">
                  <c:v>3</c:v>
                </c:pt>
                <c:pt idx="12">
                  <c:v>1</c:v>
                </c:pt>
              </c:numCache>
            </c:numRef>
          </c:val>
          <c:extLst>
            <c:ext xmlns:c16="http://schemas.microsoft.com/office/drawing/2014/chart" uri="{C3380CC4-5D6E-409C-BE32-E72D297353CC}">
              <c16:uniqueId val="{00000002-CF85-DE46-89EF-ED298A037AAA}"/>
            </c:ext>
          </c:extLst>
        </c:ser>
        <c:dLbls>
          <c:showLegendKey val="0"/>
          <c:showVal val="0"/>
          <c:showCatName val="0"/>
          <c:showSerName val="0"/>
          <c:showPercent val="0"/>
          <c:showBubbleSize val="0"/>
        </c:dLbls>
        <c:gapWidth val="150"/>
        <c:axId val="299180799"/>
        <c:axId val="299179455"/>
      </c:barChart>
      <c:catAx>
        <c:axId val="299180799"/>
        <c:scaling>
          <c:orientation val="minMax"/>
        </c:scaling>
        <c:delete val="0"/>
        <c:axPos val="b"/>
        <c:title>
          <c:tx>
            <c:rich>
              <a:bodyPr/>
              <a:lstStyle/>
              <a:p>
                <a:pPr>
                  <a:defRPr/>
                </a:pPr>
                <a:r>
                  <a:rPr lang="en-GB"/>
                  <a:t>APPL</a:t>
                </a:r>
                <a:r>
                  <a:rPr lang="en-GB" baseline="0"/>
                  <a:t> Daily Returns (%)</a:t>
                </a:r>
                <a:endParaRPr lang="en-GB"/>
              </a:p>
            </c:rich>
          </c:tx>
          <c:overlay val="0"/>
        </c:title>
        <c:numFmt formatCode="General" sourceLinked="1"/>
        <c:majorTickMark val="out"/>
        <c:minorTickMark val="none"/>
        <c:tickLblPos val="nextTo"/>
        <c:crossAx val="299179455"/>
        <c:crosses val="autoZero"/>
        <c:auto val="1"/>
        <c:lblAlgn val="ctr"/>
        <c:lblOffset val="100"/>
        <c:noMultiLvlLbl val="0"/>
      </c:catAx>
      <c:valAx>
        <c:axId val="299179455"/>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29918079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 of Simulated TSM Daily</a:t>
            </a:r>
            <a:r>
              <a:rPr lang="en-GB" baseline="0"/>
              <a:t> Returns</a:t>
            </a:r>
            <a:r>
              <a:rPr lang="en-GB"/>
              <a:t> </a:t>
            </a:r>
          </a:p>
        </c:rich>
      </c:tx>
      <c:overlay val="0"/>
    </c:title>
    <c:autoTitleDeleted val="0"/>
    <c:plotArea>
      <c:layout/>
      <c:barChart>
        <c:barDir val="col"/>
        <c:grouping val="clustered"/>
        <c:varyColors val="0"/>
        <c:ser>
          <c:idx val="1"/>
          <c:order val="0"/>
          <c:invertIfNegative val="0"/>
          <c:cat>
            <c:numRef>
              <c:f>'Histogram of Sim TSM'!$A$2:$A$14</c:f>
              <c:numCache>
                <c:formatCode>General</c:formatCode>
                <c:ptCount val="13"/>
                <c:pt idx="0">
                  <c:v>-0.06</c:v>
                </c:pt>
                <c:pt idx="1">
                  <c:v>-4.9999999999999996E-2</c:v>
                </c:pt>
                <c:pt idx="2">
                  <c:v>-3.9999999999999994E-2</c:v>
                </c:pt>
                <c:pt idx="3">
                  <c:v>-2.9999999999999992E-2</c:v>
                </c:pt>
                <c:pt idx="4">
                  <c:v>-1.999999999999999E-2</c:v>
                </c:pt>
                <c:pt idx="5">
                  <c:v>-9.9999999999999898E-3</c:v>
                </c:pt>
                <c:pt idx="6">
                  <c:v>0</c:v>
                </c:pt>
                <c:pt idx="7">
                  <c:v>0.01</c:v>
                </c:pt>
                <c:pt idx="8">
                  <c:v>0.02</c:v>
                </c:pt>
                <c:pt idx="9">
                  <c:v>0.03</c:v>
                </c:pt>
                <c:pt idx="10">
                  <c:v>0.04</c:v>
                </c:pt>
                <c:pt idx="11">
                  <c:v>0.05</c:v>
                </c:pt>
                <c:pt idx="12">
                  <c:v>6.0000000000000005E-2</c:v>
                </c:pt>
              </c:numCache>
            </c:numRef>
          </c:cat>
          <c:val>
            <c:numRef>
              <c:f>'Histogram of Sim TSM'!$B$2:$B$14</c:f>
              <c:numCache>
                <c:formatCode>General</c:formatCode>
                <c:ptCount val="13"/>
                <c:pt idx="0">
                  <c:v>2</c:v>
                </c:pt>
                <c:pt idx="1">
                  <c:v>2</c:v>
                </c:pt>
                <c:pt idx="2">
                  <c:v>1</c:v>
                </c:pt>
                <c:pt idx="3">
                  <c:v>9</c:v>
                </c:pt>
                <c:pt idx="4">
                  <c:v>5</c:v>
                </c:pt>
                <c:pt idx="5">
                  <c:v>29</c:v>
                </c:pt>
                <c:pt idx="6">
                  <c:v>70</c:v>
                </c:pt>
                <c:pt idx="7">
                  <c:v>83</c:v>
                </c:pt>
                <c:pt idx="8">
                  <c:v>24</c:v>
                </c:pt>
                <c:pt idx="9">
                  <c:v>11</c:v>
                </c:pt>
                <c:pt idx="10">
                  <c:v>8</c:v>
                </c:pt>
                <c:pt idx="11">
                  <c:v>3</c:v>
                </c:pt>
                <c:pt idx="12">
                  <c:v>1</c:v>
                </c:pt>
              </c:numCache>
            </c:numRef>
          </c:val>
          <c:extLst>
            <c:ext xmlns:c16="http://schemas.microsoft.com/office/drawing/2014/chart" uri="{C3380CC4-5D6E-409C-BE32-E72D297353CC}">
              <c16:uniqueId val="{00000002-137E-4D4A-B563-8AFC9FB214DA}"/>
            </c:ext>
          </c:extLst>
        </c:ser>
        <c:dLbls>
          <c:showLegendKey val="0"/>
          <c:showVal val="0"/>
          <c:showCatName val="0"/>
          <c:showSerName val="0"/>
          <c:showPercent val="0"/>
          <c:showBubbleSize val="0"/>
        </c:dLbls>
        <c:gapWidth val="150"/>
        <c:axId val="331058239"/>
        <c:axId val="331060927"/>
      </c:barChart>
      <c:catAx>
        <c:axId val="331058239"/>
        <c:scaling>
          <c:orientation val="minMax"/>
        </c:scaling>
        <c:delete val="0"/>
        <c:axPos val="b"/>
        <c:title>
          <c:tx>
            <c:rich>
              <a:bodyPr/>
              <a:lstStyle/>
              <a:p>
                <a:pPr>
                  <a:defRPr/>
                </a:pPr>
                <a:r>
                  <a:rPr lang="en-GB"/>
                  <a:t>HSimulated</a:t>
                </a:r>
                <a:r>
                  <a:rPr lang="en-GB" baseline="0"/>
                  <a:t> Daily Returns (%)</a:t>
                </a:r>
                <a:endParaRPr lang="en-GB"/>
              </a:p>
            </c:rich>
          </c:tx>
          <c:overlay val="0"/>
        </c:title>
        <c:numFmt formatCode="General" sourceLinked="1"/>
        <c:majorTickMark val="out"/>
        <c:minorTickMark val="none"/>
        <c:tickLblPos val="nextTo"/>
        <c:crossAx val="331060927"/>
        <c:crosses val="autoZero"/>
        <c:auto val="1"/>
        <c:lblAlgn val="ctr"/>
        <c:lblOffset val="100"/>
        <c:noMultiLvlLbl val="0"/>
      </c:catAx>
      <c:valAx>
        <c:axId val="331060927"/>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331058239"/>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 of Simulated F Returns</a:t>
            </a:r>
          </a:p>
        </c:rich>
      </c:tx>
      <c:overlay val="0"/>
    </c:title>
    <c:autoTitleDeleted val="0"/>
    <c:plotArea>
      <c:layout/>
      <c:barChart>
        <c:barDir val="col"/>
        <c:grouping val="clustered"/>
        <c:varyColors val="0"/>
        <c:ser>
          <c:idx val="1"/>
          <c:order val="0"/>
          <c:invertIfNegative val="0"/>
          <c:cat>
            <c:numRef>
              <c:f>'Histogram of Sim F'!$A$2:$A$14</c:f>
              <c:numCache>
                <c:formatCode>General</c:formatCode>
                <c:ptCount val="13"/>
                <c:pt idx="0">
                  <c:v>-0.06</c:v>
                </c:pt>
                <c:pt idx="1">
                  <c:v>-4.9999999999999996E-2</c:v>
                </c:pt>
                <c:pt idx="2">
                  <c:v>-3.9999999999999994E-2</c:v>
                </c:pt>
                <c:pt idx="3">
                  <c:v>-2.9999999999999992E-2</c:v>
                </c:pt>
                <c:pt idx="4">
                  <c:v>-1.999999999999999E-2</c:v>
                </c:pt>
                <c:pt idx="5">
                  <c:v>-9.9999999999999898E-3</c:v>
                </c:pt>
                <c:pt idx="6">
                  <c:v>0</c:v>
                </c:pt>
                <c:pt idx="7">
                  <c:v>0.01</c:v>
                </c:pt>
                <c:pt idx="8">
                  <c:v>0.02</c:v>
                </c:pt>
                <c:pt idx="9">
                  <c:v>0.03</c:v>
                </c:pt>
                <c:pt idx="10">
                  <c:v>0.04</c:v>
                </c:pt>
                <c:pt idx="11">
                  <c:v>0.05</c:v>
                </c:pt>
                <c:pt idx="12">
                  <c:v>6.0000000000000005E-2</c:v>
                </c:pt>
              </c:numCache>
            </c:numRef>
          </c:cat>
          <c:val>
            <c:numRef>
              <c:f>'Histogram of Sim F'!$B$2:$B$14</c:f>
              <c:numCache>
                <c:formatCode>General</c:formatCode>
                <c:ptCount val="13"/>
                <c:pt idx="0">
                  <c:v>3</c:v>
                </c:pt>
                <c:pt idx="1">
                  <c:v>2</c:v>
                </c:pt>
                <c:pt idx="2">
                  <c:v>1</c:v>
                </c:pt>
                <c:pt idx="3">
                  <c:v>7</c:v>
                </c:pt>
                <c:pt idx="4">
                  <c:v>13</c:v>
                </c:pt>
                <c:pt idx="5">
                  <c:v>40</c:v>
                </c:pt>
                <c:pt idx="6">
                  <c:v>57</c:v>
                </c:pt>
                <c:pt idx="7">
                  <c:v>60</c:v>
                </c:pt>
                <c:pt idx="8">
                  <c:v>37</c:v>
                </c:pt>
                <c:pt idx="9">
                  <c:v>14</c:v>
                </c:pt>
                <c:pt idx="10">
                  <c:v>9</c:v>
                </c:pt>
                <c:pt idx="11">
                  <c:v>4</c:v>
                </c:pt>
                <c:pt idx="12">
                  <c:v>0</c:v>
                </c:pt>
              </c:numCache>
            </c:numRef>
          </c:val>
          <c:extLst>
            <c:ext xmlns:c16="http://schemas.microsoft.com/office/drawing/2014/chart" uri="{C3380CC4-5D6E-409C-BE32-E72D297353CC}">
              <c16:uniqueId val="{00000002-E889-1B4F-B9B8-C8B7A456A908}"/>
            </c:ext>
          </c:extLst>
        </c:ser>
        <c:dLbls>
          <c:showLegendKey val="0"/>
          <c:showVal val="0"/>
          <c:showCatName val="0"/>
          <c:showSerName val="0"/>
          <c:showPercent val="0"/>
          <c:showBubbleSize val="0"/>
        </c:dLbls>
        <c:gapWidth val="150"/>
        <c:axId val="331072383"/>
        <c:axId val="331082687"/>
      </c:barChart>
      <c:catAx>
        <c:axId val="331072383"/>
        <c:scaling>
          <c:orientation val="minMax"/>
        </c:scaling>
        <c:delete val="0"/>
        <c:axPos val="b"/>
        <c:title>
          <c:tx>
            <c:rich>
              <a:bodyPr/>
              <a:lstStyle/>
              <a:p>
                <a:pPr>
                  <a:defRPr/>
                </a:pPr>
                <a:r>
                  <a:rPr lang="en-GB"/>
                  <a:t>Simulated Daily Returns</a:t>
                </a:r>
              </a:p>
            </c:rich>
          </c:tx>
          <c:overlay val="0"/>
        </c:title>
        <c:numFmt formatCode="General" sourceLinked="1"/>
        <c:majorTickMark val="out"/>
        <c:minorTickMark val="none"/>
        <c:tickLblPos val="nextTo"/>
        <c:crossAx val="331082687"/>
        <c:crosses val="autoZero"/>
        <c:auto val="1"/>
        <c:lblAlgn val="ctr"/>
        <c:lblOffset val="100"/>
        <c:noMultiLvlLbl val="0"/>
      </c:catAx>
      <c:valAx>
        <c:axId val="331082687"/>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33107238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Sheet16!$A$2:$A$15</c:f>
              <c:strCache>
                <c:ptCount val="14"/>
                <c:pt idx="0">
                  <c:v>-0.06</c:v>
                </c:pt>
                <c:pt idx="1">
                  <c:v>-0.05</c:v>
                </c:pt>
                <c:pt idx="2">
                  <c:v>-0.04</c:v>
                </c:pt>
                <c:pt idx="3">
                  <c:v>-0.03</c:v>
                </c:pt>
                <c:pt idx="4">
                  <c:v>-0.02</c:v>
                </c:pt>
                <c:pt idx="5">
                  <c:v>-0.01</c:v>
                </c:pt>
                <c:pt idx="6">
                  <c:v>0</c:v>
                </c:pt>
                <c:pt idx="7">
                  <c:v>0.01</c:v>
                </c:pt>
                <c:pt idx="8">
                  <c:v>0.02</c:v>
                </c:pt>
                <c:pt idx="9">
                  <c:v>0.03</c:v>
                </c:pt>
                <c:pt idx="10">
                  <c:v>0.04</c:v>
                </c:pt>
                <c:pt idx="11">
                  <c:v>0.05</c:v>
                </c:pt>
                <c:pt idx="12">
                  <c:v>0.06</c:v>
                </c:pt>
                <c:pt idx="13">
                  <c:v>More</c:v>
                </c:pt>
              </c:strCache>
            </c:strRef>
          </c:cat>
          <c:val>
            <c:numRef>
              <c:f>Sheet16!$B$2:$B$15</c:f>
              <c:numCache>
                <c:formatCode>General</c:formatCode>
                <c:ptCount val="14"/>
                <c:pt idx="0">
                  <c:v>2</c:v>
                </c:pt>
                <c:pt idx="1">
                  <c:v>2</c:v>
                </c:pt>
                <c:pt idx="2">
                  <c:v>1</c:v>
                </c:pt>
                <c:pt idx="3">
                  <c:v>9</c:v>
                </c:pt>
                <c:pt idx="4">
                  <c:v>5</c:v>
                </c:pt>
                <c:pt idx="5">
                  <c:v>29</c:v>
                </c:pt>
                <c:pt idx="6">
                  <c:v>70</c:v>
                </c:pt>
                <c:pt idx="7">
                  <c:v>83</c:v>
                </c:pt>
                <c:pt idx="8">
                  <c:v>24</c:v>
                </c:pt>
                <c:pt idx="9">
                  <c:v>11</c:v>
                </c:pt>
                <c:pt idx="10">
                  <c:v>8</c:v>
                </c:pt>
                <c:pt idx="11">
                  <c:v>3</c:v>
                </c:pt>
                <c:pt idx="12">
                  <c:v>1</c:v>
                </c:pt>
                <c:pt idx="13">
                  <c:v>1</c:v>
                </c:pt>
              </c:numCache>
            </c:numRef>
          </c:val>
          <c:extLst>
            <c:ext xmlns:c16="http://schemas.microsoft.com/office/drawing/2014/chart" uri="{C3380CC4-5D6E-409C-BE32-E72D297353CC}">
              <c16:uniqueId val="{00000001-2245-B645-BD5A-00E81E170BBC}"/>
            </c:ext>
          </c:extLst>
        </c:ser>
        <c:dLbls>
          <c:showLegendKey val="0"/>
          <c:showVal val="0"/>
          <c:showCatName val="0"/>
          <c:showSerName val="0"/>
          <c:showPercent val="0"/>
          <c:showBubbleSize val="0"/>
        </c:dLbls>
        <c:gapWidth val="150"/>
        <c:axId val="266114751"/>
        <c:axId val="266123711"/>
      </c:barChart>
      <c:catAx>
        <c:axId val="266114751"/>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266123711"/>
        <c:crosses val="autoZero"/>
        <c:auto val="1"/>
        <c:lblAlgn val="ctr"/>
        <c:lblOffset val="100"/>
        <c:noMultiLvlLbl val="0"/>
      </c:catAx>
      <c:valAx>
        <c:axId val="266123711"/>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26611475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15</xdr:col>
      <xdr:colOff>15240</xdr:colOff>
      <xdr:row>54</xdr:row>
      <xdr:rowOff>15240</xdr:rowOff>
    </xdr:from>
    <xdr:to>
      <xdr:col>22</xdr:col>
      <xdr:colOff>320040</xdr:colOff>
      <xdr:row>69</xdr:row>
      <xdr:rowOff>15240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71</xdr:row>
      <xdr:rowOff>0</xdr:rowOff>
    </xdr:from>
    <xdr:to>
      <xdr:col>22</xdr:col>
      <xdr:colOff>304800</xdr:colOff>
      <xdr:row>86</xdr:row>
      <xdr:rowOff>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5080</xdr:colOff>
      <xdr:row>8</xdr:row>
      <xdr:rowOff>109220</xdr:rowOff>
    </xdr:from>
    <xdr:to>
      <xdr:col>20</xdr:col>
      <xdr:colOff>309880</xdr:colOff>
      <xdr:row>23</xdr:row>
      <xdr:rowOff>109220</xdr:rowOff>
    </xdr:to>
    <xdr:graphicFrame macro="">
      <xdr:nvGraphicFramePr>
        <xdr:cNvPr id="2" name="Chart 1">
          <a:extLst>
            <a:ext uri="{FF2B5EF4-FFF2-40B4-BE49-F238E27FC236}">
              <a16:creationId xmlns:a16="http://schemas.microsoft.com/office/drawing/2014/main" id="{00611752-67D2-E742-B7DC-2F216821A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12700</xdr:colOff>
      <xdr:row>26</xdr:row>
      <xdr:rowOff>12700</xdr:rowOff>
    </xdr:from>
    <xdr:to>
      <xdr:col>20</xdr:col>
      <xdr:colOff>317500</xdr:colOff>
      <xdr:row>41</xdr:row>
      <xdr:rowOff>12700</xdr:rowOff>
    </xdr:to>
    <xdr:graphicFrame macro="">
      <xdr:nvGraphicFramePr>
        <xdr:cNvPr id="3" name="Chart 2">
          <a:extLst>
            <a:ext uri="{FF2B5EF4-FFF2-40B4-BE49-F238E27FC236}">
              <a16:creationId xmlns:a16="http://schemas.microsoft.com/office/drawing/2014/main" id="{9497951D-CE99-7042-A074-CDF82737C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xdr:colOff>
      <xdr:row>59</xdr:row>
      <xdr:rowOff>154940</xdr:rowOff>
    </xdr:from>
    <xdr:to>
      <xdr:col>20</xdr:col>
      <xdr:colOff>320040</xdr:colOff>
      <xdr:row>74</xdr:row>
      <xdr:rowOff>154940</xdr:rowOff>
    </xdr:to>
    <xdr:graphicFrame macro="">
      <xdr:nvGraphicFramePr>
        <xdr:cNvPr id="4" name="Chart 3">
          <a:extLst>
            <a:ext uri="{FF2B5EF4-FFF2-40B4-BE49-F238E27FC236}">
              <a16:creationId xmlns:a16="http://schemas.microsoft.com/office/drawing/2014/main" id="{94E0AFCD-0C2F-584E-B475-50F8D73D9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12700</xdr:colOff>
      <xdr:row>43</xdr:row>
      <xdr:rowOff>12700</xdr:rowOff>
    </xdr:from>
    <xdr:to>
      <xdr:col>20</xdr:col>
      <xdr:colOff>317500</xdr:colOff>
      <xdr:row>58</xdr:row>
      <xdr:rowOff>12700</xdr:rowOff>
    </xdr:to>
    <xdr:graphicFrame macro="">
      <xdr:nvGraphicFramePr>
        <xdr:cNvPr id="5" name="Chart 4">
          <a:extLst>
            <a:ext uri="{FF2B5EF4-FFF2-40B4-BE49-F238E27FC236}">
              <a16:creationId xmlns:a16="http://schemas.microsoft.com/office/drawing/2014/main" id="{E5ADFA48-194F-1248-93E7-C658103B9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77</xdr:row>
      <xdr:rowOff>12700</xdr:rowOff>
    </xdr:from>
    <xdr:to>
      <xdr:col>20</xdr:col>
      <xdr:colOff>304800</xdr:colOff>
      <xdr:row>92</xdr:row>
      <xdr:rowOff>12700</xdr:rowOff>
    </xdr:to>
    <xdr:graphicFrame macro="">
      <xdr:nvGraphicFramePr>
        <xdr:cNvPr id="6" name="Chart 5">
          <a:extLst>
            <a:ext uri="{FF2B5EF4-FFF2-40B4-BE49-F238E27FC236}">
              <a16:creationId xmlns:a16="http://schemas.microsoft.com/office/drawing/2014/main" id="{927DD58B-EE3B-9C4E-9370-2A38C1833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279400</xdr:colOff>
      <xdr:row>1</xdr:row>
      <xdr:rowOff>76200</xdr:rowOff>
    </xdr:from>
    <xdr:to>
      <xdr:col>9</xdr:col>
      <xdr:colOff>279400</xdr:colOff>
      <xdr:row>11</xdr:row>
      <xdr:rowOff>76200</xdr:rowOff>
    </xdr:to>
    <xdr:graphicFrame macro="">
      <xdr:nvGraphicFramePr>
        <xdr:cNvPr id="2" name="Chart 1">
          <a:extLst>
            <a:ext uri="{FF2B5EF4-FFF2-40B4-BE49-F238E27FC236}">
              <a16:creationId xmlns:a16="http://schemas.microsoft.com/office/drawing/2014/main" id="{02193128-BD2E-8AC1-7620-CF3F51778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279400</xdr:colOff>
      <xdr:row>1</xdr:row>
      <xdr:rowOff>76200</xdr:rowOff>
    </xdr:from>
    <xdr:to>
      <xdr:col>9</xdr:col>
      <xdr:colOff>279400</xdr:colOff>
      <xdr:row>11</xdr:row>
      <xdr:rowOff>76200</xdr:rowOff>
    </xdr:to>
    <xdr:graphicFrame macro="">
      <xdr:nvGraphicFramePr>
        <xdr:cNvPr id="2" name="Chart 1">
          <a:extLst>
            <a:ext uri="{FF2B5EF4-FFF2-40B4-BE49-F238E27FC236}">
              <a16:creationId xmlns:a16="http://schemas.microsoft.com/office/drawing/2014/main" id="{24204C89-1CB4-EB6A-DAE9-73C64C202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279400</xdr:colOff>
      <xdr:row>1</xdr:row>
      <xdr:rowOff>76200</xdr:rowOff>
    </xdr:from>
    <xdr:to>
      <xdr:col>9</xdr:col>
      <xdr:colOff>279400</xdr:colOff>
      <xdr:row>11</xdr:row>
      <xdr:rowOff>76200</xdr:rowOff>
    </xdr:to>
    <xdr:graphicFrame macro="">
      <xdr:nvGraphicFramePr>
        <xdr:cNvPr id="2" name="Chart 1">
          <a:extLst>
            <a:ext uri="{FF2B5EF4-FFF2-40B4-BE49-F238E27FC236}">
              <a16:creationId xmlns:a16="http://schemas.microsoft.com/office/drawing/2014/main" id="{B47466EA-A3A1-D9FB-B169-6419546A7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279400</xdr:colOff>
      <xdr:row>1</xdr:row>
      <xdr:rowOff>76200</xdr:rowOff>
    </xdr:from>
    <xdr:to>
      <xdr:col>9</xdr:col>
      <xdr:colOff>774700</xdr:colOff>
      <xdr:row>14</xdr:row>
      <xdr:rowOff>101600</xdr:rowOff>
    </xdr:to>
    <xdr:graphicFrame macro="">
      <xdr:nvGraphicFramePr>
        <xdr:cNvPr id="2" name="Chart 1">
          <a:extLst>
            <a:ext uri="{FF2B5EF4-FFF2-40B4-BE49-F238E27FC236}">
              <a16:creationId xmlns:a16="http://schemas.microsoft.com/office/drawing/2014/main" id="{0ED153F7-592F-FD69-66E1-41CDA27D8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279400</xdr:colOff>
      <xdr:row>1</xdr:row>
      <xdr:rowOff>76200</xdr:rowOff>
    </xdr:from>
    <xdr:to>
      <xdr:col>10</xdr:col>
      <xdr:colOff>279400</xdr:colOff>
      <xdr:row>15</xdr:row>
      <xdr:rowOff>12700</xdr:rowOff>
    </xdr:to>
    <xdr:graphicFrame macro="">
      <xdr:nvGraphicFramePr>
        <xdr:cNvPr id="2" name="Chart 1">
          <a:extLst>
            <a:ext uri="{FF2B5EF4-FFF2-40B4-BE49-F238E27FC236}">
              <a16:creationId xmlns:a16="http://schemas.microsoft.com/office/drawing/2014/main" id="{B684FD47-002C-A8EA-52DD-6E7C13E74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279400</xdr:colOff>
      <xdr:row>1</xdr:row>
      <xdr:rowOff>76200</xdr:rowOff>
    </xdr:from>
    <xdr:to>
      <xdr:col>9</xdr:col>
      <xdr:colOff>279400</xdr:colOff>
      <xdr:row>11</xdr:row>
      <xdr:rowOff>76200</xdr:rowOff>
    </xdr:to>
    <xdr:graphicFrame macro="">
      <xdr:nvGraphicFramePr>
        <xdr:cNvPr id="2" name="Chart 1">
          <a:extLst>
            <a:ext uri="{FF2B5EF4-FFF2-40B4-BE49-F238E27FC236}">
              <a16:creationId xmlns:a16="http://schemas.microsoft.com/office/drawing/2014/main" id="{732AD7E7-01D9-AFB9-47DF-5DC6668AA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qmulprod-my.sharepoint.com/Users/abdulrahim/Downloads/Assignment%20sol%20(2).xlsx" TargetMode="External"/><Relationship Id="rId1" Type="http://schemas.openxmlformats.org/officeDocument/2006/relationships/externalLinkPath" Target="https://qmulprod-my.sharepoint.com/Users/abdulrahim/Downloads/Assignment%20sol%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sheetDataSet>
      <sheetData sheetId="0">
        <row r="1">
          <cell r="B1" t="str">
            <v>TSM Close</v>
          </cell>
          <cell r="C1" t="str">
            <v>F Close</v>
          </cell>
          <cell r="D1" t="str">
            <v>AAPL Close</v>
          </cell>
          <cell r="E1" t="str">
            <v>TSM Return</v>
          </cell>
          <cell r="F1" t="str">
            <v>F Return</v>
          </cell>
          <cell r="G1" t="str">
            <v>AAPL Return</v>
          </cell>
          <cell r="H1" t="str">
            <v>TSM Sim</v>
          </cell>
          <cell r="I1" t="str">
            <v>F Sim</v>
          </cell>
        </row>
        <row r="2">
          <cell r="B2">
            <v>173.5</v>
          </cell>
          <cell r="C2">
            <v>10.3</v>
          </cell>
          <cell r="D2">
            <v>221.53</v>
          </cell>
          <cell r="H2">
            <v>173.5</v>
          </cell>
          <cell r="I2">
            <v>10.3</v>
          </cell>
          <cell r="J2">
            <v>221.53</v>
          </cell>
        </row>
        <row r="3">
          <cell r="B3">
            <v>168.24</v>
          </cell>
          <cell r="C3">
            <v>9.9</v>
          </cell>
          <cell r="D3">
            <v>223.85</v>
          </cell>
          <cell r="E3">
            <v>-3.0786067992469517E-2</v>
          </cell>
          <cell r="F3">
            <v>-3.9609138095045827E-2</v>
          </cell>
          <cell r="G3">
            <v>1.041816419239041E-2</v>
          </cell>
          <cell r="H3">
            <v>171.24737538701203</v>
          </cell>
          <cell r="I3">
            <v>10.060208311109911</v>
          </cell>
          <cell r="J3">
            <v>225.56400502000568</v>
          </cell>
        </row>
        <row r="4">
          <cell r="B4">
            <v>165.25</v>
          </cell>
          <cell r="C4">
            <v>9.7200000000000006</v>
          </cell>
          <cell r="D4">
            <v>217.9</v>
          </cell>
          <cell r="E4">
            <v>-1.7932052662648686E-2</v>
          </cell>
          <cell r="F4">
            <v>-1.8349138668196541E-2</v>
          </cell>
          <cell r="G4">
            <v>-2.693994273640031E-2</v>
          </cell>
          <cell r="H4">
            <v>181.06500310913805</v>
          </cell>
          <cell r="I4">
            <v>10.129474009573032</v>
          </cell>
          <cell r="J4">
            <v>229.51472209068424</v>
          </cell>
        </row>
        <row r="5">
          <cell r="B5">
            <v>166</v>
          </cell>
          <cell r="C5">
            <v>10.029999999999999</v>
          </cell>
          <cell r="D5">
            <v>222.13</v>
          </cell>
          <cell r="E5">
            <v>4.5283096247476099E-3</v>
          </cell>
          <cell r="F5">
            <v>3.1394983501496235E-2</v>
          </cell>
          <cell r="G5">
            <v>1.9226554118956955E-2</v>
          </cell>
          <cell r="H5">
            <v>177.39064552302511</v>
          </cell>
          <cell r="I5">
            <v>9.9207175731480479</v>
          </cell>
          <cell r="J5">
            <v>230.84413495981929</v>
          </cell>
        </row>
        <row r="6">
          <cell r="B6">
            <v>168.64</v>
          </cell>
          <cell r="C6">
            <v>9.94</v>
          </cell>
          <cell r="D6">
            <v>223.19</v>
          </cell>
          <cell r="E6">
            <v>1.5778476996454231E-2</v>
          </cell>
          <cell r="F6">
            <v>-9.0135813053615239E-3</v>
          </cell>
          <cell r="G6">
            <v>4.7606305665627204E-3</v>
          </cell>
          <cell r="H6">
            <v>176.11575265082584</v>
          </cell>
          <cell r="I6">
            <v>9.8852380944987388</v>
          </cell>
          <cell r="J6">
            <v>216.3690782668516</v>
          </cell>
        </row>
        <row r="7">
          <cell r="B7">
            <v>170.39</v>
          </cell>
          <cell r="C7">
            <v>10.15</v>
          </cell>
          <cell r="D7">
            <v>223.89</v>
          </cell>
          <cell r="E7">
            <v>1.0323661874150411E-2</v>
          </cell>
          <cell r="F7">
            <v>2.0906684819313862E-2</v>
          </cell>
          <cell r="G7">
            <v>3.1314331753118378E-3</v>
          </cell>
          <cell r="H7">
            <v>170.07318795772011</v>
          </cell>
          <cell r="I7">
            <v>10.0315586166206</v>
          </cell>
          <cell r="J7">
            <v>217.74796134055498</v>
          </cell>
        </row>
        <row r="8">
          <cell r="B8">
            <v>157.38</v>
          </cell>
          <cell r="C8">
            <v>9.5399999999999991</v>
          </cell>
          <cell r="D8">
            <v>203.19</v>
          </cell>
          <cell r="E8">
            <v>-7.9426664120310478E-2</v>
          </cell>
          <cell r="F8">
            <v>-6.1980220027601292E-2</v>
          </cell>
          <cell r="G8">
            <v>-9.7013357916483689E-2</v>
          </cell>
          <cell r="H8">
            <v>168.87309491218713</v>
          </cell>
          <cell r="I8">
            <v>9.7643535045548866</v>
          </cell>
          <cell r="J8">
            <v>217.06755657794227</v>
          </cell>
        </row>
        <row r="9">
          <cell r="B9">
            <v>146.80000000000001</v>
          </cell>
          <cell r="C9">
            <v>9.58</v>
          </cell>
          <cell r="D9">
            <v>188.38</v>
          </cell>
          <cell r="E9">
            <v>-6.9592146926421974E-2</v>
          </cell>
          <cell r="F9">
            <v>4.1841065225740907E-3</v>
          </cell>
          <cell r="G9">
            <v>-7.5680302500250957E-2</v>
          </cell>
          <cell r="H9">
            <v>173.5409858667046</v>
          </cell>
          <cell r="I9">
            <v>9.8923629080357909</v>
          </cell>
          <cell r="J9">
            <v>217.63983999210481</v>
          </cell>
        </row>
        <row r="10">
          <cell r="B10">
            <v>146.16999999999999</v>
          </cell>
          <cell r="C10">
            <v>9.24</v>
          </cell>
          <cell r="D10">
            <v>181.46</v>
          </cell>
          <cell r="E10">
            <v>-4.3007882792140146E-3</v>
          </cell>
          <cell r="F10">
            <v>-3.6135706329176322E-2</v>
          </cell>
          <cell r="G10">
            <v>-3.7425955653188146E-2</v>
          </cell>
          <cell r="H10">
            <v>173.84745203642521</v>
          </cell>
          <cell r="I10">
            <v>9.630615375676145</v>
          </cell>
          <cell r="J10">
            <v>228.07267124905201</v>
          </cell>
        </row>
        <row r="11">
          <cell r="B11">
            <v>141.37</v>
          </cell>
          <cell r="C11">
            <v>8.69</v>
          </cell>
          <cell r="D11">
            <v>172.42</v>
          </cell>
          <cell r="E11">
            <v>-3.3389761022260045E-2</v>
          </cell>
          <cell r="F11">
            <v>-6.1368946376292248E-2</v>
          </cell>
          <cell r="G11">
            <v>-5.1101882959704026E-2</v>
          </cell>
          <cell r="H11">
            <v>176.08572142501802</v>
          </cell>
          <cell r="I11">
            <v>9.5644201613535991</v>
          </cell>
          <cell r="J11">
            <v>221.1846060530001</v>
          </cell>
        </row>
        <row r="12">
          <cell r="B12">
            <v>158.75</v>
          </cell>
          <cell r="C12">
            <v>9.5</v>
          </cell>
          <cell r="D12">
            <v>198.85</v>
          </cell>
          <cell r="E12">
            <v>0.11595007089385978</v>
          </cell>
          <cell r="F12">
            <v>8.9118859329194514E-2</v>
          </cell>
          <cell r="G12">
            <v>0.14261741087192081</v>
          </cell>
          <cell r="H12">
            <v>174.74991652702505</v>
          </cell>
          <cell r="I12">
            <v>9.7678488089513031</v>
          </cell>
          <cell r="J12">
            <v>218.89296708015442</v>
          </cell>
        </row>
        <row r="13">
          <cell r="B13">
            <v>151.13</v>
          </cell>
          <cell r="C13">
            <v>9.14</v>
          </cell>
          <cell r="D13">
            <v>190.42</v>
          </cell>
          <cell r="E13">
            <v>-4.9190244190771781E-2</v>
          </cell>
          <cell r="F13">
            <v>-3.8631413140436451E-2</v>
          </cell>
          <cell r="G13">
            <v>-4.3318612796154309E-2</v>
          </cell>
          <cell r="H13">
            <v>174.38518888952879</v>
          </cell>
          <cell r="I13">
            <v>9.9404777685292274</v>
          </cell>
          <cell r="J13">
            <v>224.04329428735539</v>
          </cell>
        </row>
        <row r="14">
          <cell r="B14">
            <v>157.08000000000001</v>
          </cell>
          <cell r="C14">
            <v>9.33</v>
          </cell>
          <cell r="D14">
            <v>198.15</v>
          </cell>
          <cell r="E14">
            <v>3.8614836127779731E-2</v>
          </cell>
          <cell r="F14">
            <v>2.0574629393193728E-2</v>
          </cell>
          <cell r="G14">
            <v>3.9792160778898779E-2</v>
          </cell>
          <cell r="H14">
            <v>174.08079113765294</v>
          </cell>
          <cell r="I14">
            <v>9.8507416994061483</v>
          </cell>
          <cell r="J14">
            <v>222.64960369905742</v>
          </cell>
        </row>
        <row r="15">
          <cell r="B15">
            <v>155.84</v>
          </cell>
          <cell r="C15">
            <v>9.7100000000000009</v>
          </cell>
          <cell r="D15">
            <v>202.52</v>
          </cell>
          <cell r="E15">
            <v>-7.9253898155839542E-3</v>
          </cell>
          <cell r="F15">
            <v>3.9921267443981265E-2</v>
          </cell>
          <cell r="G15">
            <v>2.1814327465264516E-2</v>
          </cell>
          <cell r="H15">
            <v>178.29668500310467</v>
          </cell>
          <cell r="I15">
            <v>10.014177884906969</v>
          </cell>
          <cell r="J15">
            <v>217.73600893021268</v>
          </cell>
        </row>
        <row r="16">
          <cell r="B16">
            <v>157.33000000000001</v>
          </cell>
          <cell r="C16">
            <v>9.4499999999999993</v>
          </cell>
          <cell r="D16">
            <v>202.14</v>
          </cell>
          <cell r="E16">
            <v>9.515670358107086E-3</v>
          </cell>
          <cell r="F16">
            <v>-2.7141540797582308E-2</v>
          </cell>
          <cell r="G16">
            <v>-1.8781204551920384E-3</v>
          </cell>
          <cell r="H16">
            <v>184.90627252644097</v>
          </cell>
          <cell r="I16">
            <v>10.310555179919332</v>
          </cell>
          <cell r="J16">
            <v>216.36458356739294</v>
          </cell>
        </row>
        <row r="17">
          <cell r="B17">
            <v>151.66999999999999</v>
          </cell>
          <cell r="C17">
            <v>9.4</v>
          </cell>
          <cell r="D17">
            <v>194.27</v>
          </cell>
          <cell r="E17">
            <v>-3.6638402189026538E-2</v>
          </cell>
          <cell r="F17">
            <v>-5.3050522296930061E-3</v>
          </cell>
          <cell r="G17">
            <v>-3.9711582595827098E-2</v>
          </cell>
          <cell r="H17">
            <v>185.69194161810674</v>
          </cell>
          <cell r="I17">
            <v>9.8246598828830631</v>
          </cell>
          <cell r="J17">
            <v>217.49300533187576</v>
          </cell>
        </row>
        <row r="18">
          <cell r="B18">
            <v>151.74</v>
          </cell>
          <cell r="C18">
            <v>9.6300000000000008</v>
          </cell>
          <cell r="D18">
            <v>196.98</v>
          </cell>
          <cell r="E18">
            <v>4.6142184662340029E-4</v>
          </cell>
          <cell r="F18">
            <v>2.4173536534075984E-2</v>
          </cell>
          <cell r="G18">
            <v>1.385325669086682E-2</v>
          </cell>
          <cell r="H18">
            <v>189.00932284281629</v>
          </cell>
          <cell r="I18">
            <v>9.9800735318706071</v>
          </cell>
          <cell r="J18">
            <v>214.99646039874619</v>
          </cell>
        </row>
        <row r="19">
          <cell r="B19">
            <v>147.86000000000001</v>
          </cell>
          <cell r="C19">
            <v>9.4700000000000006</v>
          </cell>
          <cell r="D19">
            <v>193.16</v>
          </cell>
          <cell r="E19">
            <v>-2.5902649780974805E-2</v>
          </cell>
          <cell r="F19">
            <v>-1.6754318612047275E-2</v>
          </cell>
          <cell r="G19">
            <v>-1.9583339736215177E-2</v>
          </cell>
          <cell r="H19">
            <v>186.38338401250408</v>
          </cell>
          <cell r="I19">
            <v>10.16526094661878</v>
          </cell>
          <cell r="J19">
            <v>218.81560847762657</v>
          </cell>
        </row>
        <row r="20">
          <cell r="B20">
            <v>151.4</v>
          </cell>
          <cell r="C20">
            <v>9.65</v>
          </cell>
          <cell r="D20">
            <v>199.74</v>
          </cell>
          <cell r="E20">
            <v>2.3659460874394259E-2</v>
          </cell>
          <cell r="F20">
            <v>1.8829008152907559E-2</v>
          </cell>
          <cell r="G20">
            <v>3.3497659809647508E-2</v>
          </cell>
          <cell r="H20">
            <v>186.82011739596382</v>
          </cell>
          <cell r="I20">
            <v>10.22928442491949</v>
          </cell>
          <cell r="J20">
            <v>221.33403866218652</v>
          </cell>
        </row>
        <row r="21">
          <cell r="B21">
            <v>157.81</v>
          </cell>
          <cell r="C21">
            <v>9.7799999999999994</v>
          </cell>
          <cell r="D21">
            <v>204.6</v>
          </cell>
          <cell r="E21">
            <v>4.1466436756692905E-2</v>
          </cell>
          <cell r="F21">
            <v>1.3381568695831368E-2</v>
          </cell>
          <cell r="G21">
            <v>2.4040332702537383E-2</v>
          </cell>
          <cell r="H21">
            <v>186.45658554616671</v>
          </cell>
          <cell r="I21">
            <v>10.717080843071511</v>
          </cell>
          <cell r="J21">
            <v>226.2386332616978</v>
          </cell>
        </row>
        <row r="22">
          <cell r="B22">
            <v>164.18</v>
          </cell>
          <cell r="C22">
            <v>10.06</v>
          </cell>
          <cell r="D22">
            <v>208.37</v>
          </cell>
          <cell r="E22">
            <v>3.9571609160078867E-2</v>
          </cell>
          <cell r="F22">
            <v>2.8227680624867382E-2</v>
          </cell>
          <cell r="G22">
            <v>1.8258492064582833E-2</v>
          </cell>
          <cell r="H22">
            <v>189.4076143943222</v>
          </cell>
          <cell r="I22">
            <v>10.802473392089826</v>
          </cell>
          <cell r="J22">
            <v>222.8279898766088</v>
          </cell>
        </row>
        <row r="23">
          <cell r="B23">
            <v>165.1</v>
          </cell>
          <cell r="C23">
            <v>10.039999999999999</v>
          </cell>
          <cell r="D23">
            <v>209.28</v>
          </cell>
          <cell r="E23">
            <v>5.5879640059622177E-3</v>
          </cell>
          <cell r="F23">
            <v>-1.9900504080101475E-3</v>
          </cell>
          <cell r="G23">
            <v>4.3577226867250411E-3</v>
          </cell>
          <cell r="H23">
            <v>182.55449474764976</v>
          </cell>
          <cell r="I23">
            <v>10.652606280519157</v>
          </cell>
          <cell r="J23">
            <v>226.01907161908446</v>
          </cell>
        </row>
        <row r="24">
          <cell r="B24">
            <v>163.4</v>
          </cell>
          <cell r="C24">
            <v>10.02</v>
          </cell>
          <cell r="D24">
            <v>210.14</v>
          </cell>
          <cell r="E24">
            <v>-1.035016850017972E-2</v>
          </cell>
          <cell r="F24">
            <v>-1.9940186068643953E-3</v>
          </cell>
          <cell r="G24">
            <v>4.1009069917952523E-3</v>
          </cell>
          <cell r="H24">
            <v>184.45883648044253</v>
          </cell>
          <cell r="I24">
            <v>10.737970011946507</v>
          </cell>
          <cell r="J24">
            <v>229.34638248279813</v>
          </cell>
        </row>
        <row r="25">
          <cell r="B25">
            <v>164.48</v>
          </cell>
          <cell r="C25">
            <v>10.15</v>
          </cell>
          <cell r="D25">
            <v>211.21</v>
          </cell>
          <cell r="E25">
            <v>6.5877998408977057E-3</v>
          </cell>
          <cell r="F25">
            <v>1.2890609831077609E-2</v>
          </cell>
          <cell r="G25">
            <v>5.0789239354215587E-3</v>
          </cell>
          <cell r="H25">
            <v>180.15860350988706</v>
          </cell>
          <cell r="I25">
            <v>10.786331171395929</v>
          </cell>
          <cell r="J25">
            <v>227.88887773152433</v>
          </cell>
        </row>
        <row r="26">
          <cell r="B26">
            <v>166.69</v>
          </cell>
          <cell r="C26">
            <v>10.01</v>
          </cell>
          <cell r="D26">
            <v>212.5</v>
          </cell>
          <cell r="E26">
            <v>1.3346817688196342E-2</v>
          </cell>
          <cell r="F26">
            <v>-1.388911216066715E-2</v>
          </cell>
          <cell r="G26">
            <v>6.0890891684208118E-3</v>
          </cell>
          <cell r="H26">
            <v>174.25066527102067</v>
          </cell>
          <cell r="I26">
            <v>10.666033902466154</v>
          </cell>
          <cell r="J26">
            <v>225.6139076258716</v>
          </cell>
        </row>
        <row r="27">
          <cell r="B27">
            <v>172.72</v>
          </cell>
          <cell r="C27">
            <v>10.18</v>
          </cell>
          <cell r="D27">
            <v>213.32</v>
          </cell>
          <cell r="E27">
            <v>3.5535986251555393E-2</v>
          </cell>
          <cell r="F27">
            <v>1.6840417795247448E-2</v>
          </cell>
          <cell r="G27">
            <v>3.8513973679298731E-3</v>
          </cell>
          <cell r="H27">
            <v>177.21439197001271</v>
          </cell>
          <cell r="I27">
            <v>10.818625838397113</v>
          </cell>
          <cell r="J27">
            <v>219.39336247122858</v>
          </cell>
        </row>
        <row r="28">
          <cell r="B28">
            <v>179.28</v>
          </cell>
          <cell r="C28">
            <v>10.28</v>
          </cell>
          <cell r="D28">
            <v>205.35</v>
          </cell>
          <cell r="E28">
            <v>3.7277043286119617E-2</v>
          </cell>
          <cell r="F28">
            <v>9.7752489046422468E-3</v>
          </cell>
          <cell r="G28">
            <v>-3.8077545329833914E-2</v>
          </cell>
          <cell r="H28">
            <v>176.82834386895553</v>
          </cell>
          <cell r="I28">
            <v>10.64909548735069</v>
          </cell>
          <cell r="J28">
            <v>220.10316385333516</v>
          </cell>
        </row>
        <row r="29">
          <cell r="B29">
            <v>176.4</v>
          </cell>
          <cell r="C29">
            <v>10.17</v>
          </cell>
          <cell r="D29">
            <v>198.89</v>
          </cell>
          <cell r="E29">
            <v>-1.6194685919980606E-2</v>
          </cell>
          <cell r="F29">
            <v>-1.0758049966550427E-2</v>
          </cell>
          <cell r="G29">
            <v>-3.19639323274125E-2</v>
          </cell>
          <cell r="H29">
            <v>173.72264027973699</v>
          </cell>
          <cell r="I29">
            <v>10.487275207919716</v>
          </cell>
          <cell r="J29">
            <v>224.4732469372662</v>
          </cell>
        </row>
        <row r="30">
          <cell r="B30">
            <v>172.28</v>
          </cell>
          <cell r="C30">
            <v>10.44</v>
          </cell>
          <cell r="D30">
            <v>198.51</v>
          </cell>
          <cell r="E30">
            <v>-2.3633083386781092E-2</v>
          </cell>
          <cell r="F30">
            <v>2.6202372394024117E-2</v>
          </cell>
          <cell r="G30">
            <v>-1.9124313830772783E-3</v>
          </cell>
          <cell r="H30">
            <v>177.0153529723751</v>
          </cell>
          <cell r="I30">
            <v>10.58258426216403</v>
          </cell>
          <cell r="J30">
            <v>228.47158035361906</v>
          </cell>
        </row>
        <row r="31">
          <cell r="B31">
            <v>174.54</v>
          </cell>
          <cell r="C31">
            <v>10.28</v>
          </cell>
          <cell r="D31">
            <v>196.25</v>
          </cell>
          <cell r="E31">
            <v>1.3032881549255334E-2</v>
          </cell>
          <cell r="F31">
            <v>-1.5444322427473631E-2</v>
          </cell>
          <cell r="G31">
            <v>-1.1450120029559962E-2</v>
          </cell>
          <cell r="H31">
            <v>174.83648948584397</v>
          </cell>
          <cell r="I31">
            <v>10.318370656200317</v>
          </cell>
          <cell r="J31">
            <v>230.06370113501106</v>
          </cell>
        </row>
        <row r="32">
          <cell r="B32">
            <v>175.22</v>
          </cell>
          <cell r="C32">
            <v>10.28</v>
          </cell>
          <cell r="D32">
            <v>197.49</v>
          </cell>
          <cell r="E32">
            <v>3.8883855030525999E-3</v>
          </cell>
          <cell r="F32">
            <v>0</v>
          </cell>
          <cell r="G32">
            <v>6.298593485377273E-3</v>
          </cell>
          <cell r="H32">
            <v>167.0923949735043</v>
          </cell>
          <cell r="I32">
            <v>10.312374785403305</v>
          </cell>
          <cell r="J32">
            <v>229.72657172833283</v>
          </cell>
        </row>
        <row r="33">
          <cell r="B33">
            <v>176.52</v>
          </cell>
          <cell r="C33">
            <v>10.43</v>
          </cell>
          <cell r="D33">
            <v>198.53</v>
          </cell>
          <cell r="E33">
            <v>7.3918571631288186E-3</v>
          </cell>
          <cell r="F33">
            <v>1.4486008985661977E-2</v>
          </cell>
          <cell r="G33">
            <v>5.2522720610924155E-3</v>
          </cell>
          <cell r="H33">
            <v>174.00754716150576</v>
          </cell>
          <cell r="I33">
            <v>10.130139516016728</v>
          </cell>
          <cell r="J33">
            <v>226.68765193313047</v>
          </cell>
        </row>
        <row r="34">
          <cell r="B34">
            <v>186.98</v>
          </cell>
          <cell r="C34">
            <v>10.55</v>
          </cell>
          <cell r="D34">
            <v>210.79</v>
          </cell>
          <cell r="E34">
            <v>5.7567474861822981E-2</v>
          </cell>
          <cell r="F34">
            <v>1.1439590909394596E-2</v>
          </cell>
          <cell r="G34">
            <v>5.9922155002815725E-2</v>
          </cell>
          <cell r="H34">
            <v>169.65548568134122</v>
          </cell>
          <cell r="I34">
            <v>10.178239866469145</v>
          </cell>
          <cell r="J34">
            <v>230.44966737191214</v>
          </cell>
        </row>
        <row r="35">
          <cell r="B35">
            <v>193.99</v>
          </cell>
          <cell r="C35">
            <v>10.6</v>
          </cell>
          <cell r="D35">
            <v>212.93</v>
          </cell>
          <cell r="E35">
            <v>3.6804952079845084E-2</v>
          </cell>
          <cell r="F35">
            <v>4.7281411959458957E-3</v>
          </cell>
          <cell r="G35">
            <v>1.0101095986503919E-2</v>
          </cell>
          <cell r="H35">
            <v>176.37040867831945</v>
          </cell>
          <cell r="I35">
            <v>10.298950593468746</v>
          </cell>
          <cell r="J35">
            <v>233.86361443784125</v>
          </cell>
        </row>
        <row r="36">
          <cell r="B36">
            <v>194.76</v>
          </cell>
          <cell r="C36">
            <v>10.65</v>
          </cell>
          <cell r="D36">
            <v>212.33</v>
          </cell>
          <cell r="E36">
            <v>3.9614199714854111E-3</v>
          </cell>
          <cell r="F36">
            <v>4.7058910374127138E-3</v>
          </cell>
          <cell r="G36">
            <v>-2.8218050046047607E-3</v>
          </cell>
          <cell r="H36">
            <v>177.29437349483328</v>
          </cell>
          <cell r="I36">
            <v>10.378421259605437</v>
          </cell>
          <cell r="J36">
            <v>236.92294823034337</v>
          </cell>
        </row>
        <row r="37">
          <cell r="B37">
            <v>194.22</v>
          </cell>
          <cell r="C37">
            <v>10.75</v>
          </cell>
          <cell r="D37">
            <v>211.45</v>
          </cell>
          <cell r="E37">
            <v>-2.7764941482920952E-3</v>
          </cell>
          <cell r="F37">
            <v>9.345862418237599E-3</v>
          </cell>
          <cell r="G37">
            <v>-4.1531042752048983E-3</v>
          </cell>
          <cell r="H37">
            <v>173.30334650734918</v>
          </cell>
          <cell r="I37">
            <v>10.072508607609844</v>
          </cell>
          <cell r="J37">
            <v>236.5231256046329</v>
          </cell>
        </row>
        <row r="38">
          <cell r="B38">
            <v>194.22</v>
          </cell>
          <cell r="C38">
            <v>10.8</v>
          </cell>
          <cell r="D38">
            <v>211.26</v>
          </cell>
          <cell r="E38">
            <v>0</v>
          </cell>
          <cell r="F38">
            <v>4.6403795565023009E-3</v>
          </cell>
          <cell r="G38">
            <v>-8.9896152348143657E-4</v>
          </cell>
          <cell r="H38">
            <v>177.05527841442563</v>
          </cell>
          <cell r="I38">
            <v>9.8792847369627008</v>
          </cell>
          <cell r="J38">
            <v>231.3180690042818</v>
          </cell>
        </row>
        <row r="39">
          <cell r="B39">
            <v>193.5</v>
          </cell>
          <cell r="C39">
            <v>10.75</v>
          </cell>
          <cell r="D39">
            <v>208.78</v>
          </cell>
          <cell r="E39">
            <v>-3.7140246963714815E-3</v>
          </cell>
          <cell r="F39">
            <v>-4.6403795565022254E-3</v>
          </cell>
          <cell r="G39">
            <v>-1.1808536414863721E-2</v>
          </cell>
          <cell r="H39">
            <v>176.04174385689581</v>
          </cell>
          <cell r="I39">
            <v>9.983891572369247</v>
          </cell>
          <cell r="J39">
            <v>233.45584162559541</v>
          </cell>
        </row>
        <row r="40">
          <cell r="B40">
            <v>193.45</v>
          </cell>
          <cell r="C40">
            <v>10.72</v>
          </cell>
          <cell r="D40">
            <v>206.86</v>
          </cell>
          <cell r="E40">
            <v>-2.5843132331455714E-4</v>
          </cell>
          <cell r="F40">
            <v>-2.7945989310158002E-3</v>
          </cell>
          <cell r="G40">
            <v>-9.2388300304947473E-3</v>
          </cell>
          <cell r="H40">
            <v>179.5743605862701</v>
          </cell>
          <cell r="I40">
            <v>9.716666931303811</v>
          </cell>
          <cell r="J40">
            <v>230.14136764267735</v>
          </cell>
        </row>
        <row r="41">
          <cell r="B41">
            <v>191.76</v>
          </cell>
          <cell r="C41">
            <v>10.48</v>
          </cell>
          <cell r="D41">
            <v>202.09</v>
          </cell>
          <cell r="E41">
            <v>-8.7744910203930784E-3</v>
          </cell>
          <cell r="F41">
            <v>-2.2642476749759891E-2</v>
          </cell>
          <cell r="G41">
            <v>-2.3329093219500632E-2</v>
          </cell>
          <cell r="H41">
            <v>180.76255486697664</v>
          </cell>
          <cell r="I41">
            <v>9.4101549494166665</v>
          </cell>
          <cell r="J41">
            <v>238.14303618366705</v>
          </cell>
        </row>
        <row r="42">
          <cell r="B42">
            <v>196.19</v>
          </cell>
          <cell r="C42">
            <v>10.44</v>
          </cell>
          <cell r="D42">
            <v>201.36</v>
          </cell>
          <cell r="E42">
            <v>2.2838987306608521E-2</v>
          </cell>
          <cell r="F42">
            <v>-3.8240964384035057E-3</v>
          </cell>
          <cell r="G42">
            <v>-3.6187919030965495E-3</v>
          </cell>
          <cell r="H42">
            <v>189.77962439108998</v>
          </cell>
          <cell r="I42">
            <v>9.5088132384046098</v>
          </cell>
          <cell r="J42">
            <v>242.51604116732241</v>
          </cell>
        </row>
        <row r="43">
          <cell r="B43">
            <v>191.98</v>
          </cell>
          <cell r="C43">
            <v>10.36</v>
          </cell>
          <cell r="D43">
            <v>195.27</v>
          </cell>
          <cell r="E43">
            <v>-2.1692377497346631E-2</v>
          </cell>
          <cell r="F43">
            <v>-7.6923456231556137E-3</v>
          </cell>
          <cell r="G43">
            <v>-3.0711134574654807E-2</v>
          </cell>
          <cell r="H43">
            <v>198.69187952177762</v>
          </cell>
          <cell r="I43">
            <v>9.6122991406697746</v>
          </cell>
          <cell r="J43">
            <v>240.81133931998136</v>
          </cell>
        </row>
        <row r="44">
          <cell r="B44">
            <v>197.68</v>
          </cell>
          <cell r="C44">
            <v>10.31</v>
          </cell>
          <cell r="D44">
            <v>200.21</v>
          </cell>
          <cell r="E44">
            <v>2.9258361744963893E-2</v>
          </cell>
          <cell r="F44">
            <v>-4.8379388024683773E-3</v>
          </cell>
          <cell r="G44">
            <v>2.4983599431202347E-2</v>
          </cell>
          <cell r="H44">
            <v>200.59524669858817</v>
          </cell>
          <cell r="I44">
            <v>9.6422873613173046</v>
          </cell>
          <cell r="J44">
            <v>241.96560878479889</v>
          </cell>
        </row>
        <row r="45">
          <cell r="B45">
            <v>196.14</v>
          </cell>
          <cell r="C45">
            <v>10.17</v>
          </cell>
          <cell r="D45">
            <v>200.42</v>
          </cell>
          <cell r="E45">
            <v>-7.8208717161804935E-3</v>
          </cell>
          <cell r="F45">
            <v>-1.3672087968400063E-2</v>
          </cell>
          <cell r="G45">
            <v>1.0483489465745394E-3</v>
          </cell>
          <cell r="H45">
            <v>199.57386391114377</v>
          </cell>
          <cell r="I45">
            <v>10.144791727757655</v>
          </cell>
          <cell r="J45">
            <v>243.43650420545717</v>
          </cell>
        </row>
        <row r="46">
          <cell r="B46">
            <v>197.15</v>
          </cell>
          <cell r="C46">
            <v>10.220000000000001</v>
          </cell>
          <cell r="D46">
            <v>199.95</v>
          </cell>
          <cell r="E46">
            <v>5.1361703594619635E-3</v>
          </cell>
          <cell r="F46">
            <v>4.9043747150898983E-3</v>
          </cell>
          <cell r="G46">
            <v>-2.3478293373554809E-3</v>
          </cell>
          <cell r="H46">
            <v>200.47148495340133</v>
          </cell>
          <cell r="I46">
            <v>10.164662510968551</v>
          </cell>
          <cell r="J46">
            <v>244.72978356576613</v>
          </cell>
        </row>
        <row r="47">
          <cell r="B47">
            <v>193.32</v>
          </cell>
          <cell r="C47">
            <v>10.38</v>
          </cell>
          <cell r="D47">
            <v>200.85</v>
          </cell>
          <cell r="E47">
            <v>-1.9618013346752925E-2</v>
          </cell>
          <cell r="F47">
            <v>1.5534292962184204E-2</v>
          </cell>
          <cell r="G47">
            <v>4.4910255124638023E-3</v>
          </cell>
          <cell r="H47">
            <v>193.20433379190746</v>
          </cell>
          <cell r="I47">
            <v>9.8740558845305006</v>
          </cell>
          <cell r="J47">
            <v>241.07819251327533</v>
          </cell>
        </row>
        <row r="48">
          <cell r="B48">
            <v>194.84</v>
          </cell>
          <cell r="C48">
            <v>9.98</v>
          </cell>
          <cell r="D48">
            <v>201.7</v>
          </cell>
          <cell r="E48">
            <v>7.8318619614586183E-3</v>
          </cell>
          <cell r="F48">
            <v>-3.929778741436999E-2</v>
          </cell>
          <cell r="G48">
            <v>4.2230841548747573E-3</v>
          </cell>
          <cell r="H48">
            <v>194.20218430901372</v>
          </cell>
          <cell r="I48">
            <v>10.00813864793516</v>
          </cell>
          <cell r="J48">
            <v>236.05254821015214</v>
          </cell>
        </row>
        <row r="49">
          <cell r="B49">
            <v>197.61</v>
          </cell>
          <cell r="C49">
            <v>10.19</v>
          </cell>
          <cell r="D49">
            <v>203.27</v>
          </cell>
          <cell r="E49">
            <v>1.4116682382369381E-2</v>
          </cell>
          <cell r="F49">
            <v>2.0823756911260698E-2</v>
          </cell>
          <cell r="G49">
            <v>7.7536996107045722E-3</v>
          </cell>
          <cell r="H49">
            <v>195.5326569663724</v>
          </cell>
          <cell r="I49">
            <v>10.01617406321777</v>
          </cell>
          <cell r="J49">
            <v>234.95219216413412</v>
          </cell>
        </row>
        <row r="50">
          <cell r="B50">
            <v>202.4</v>
          </cell>
          <cell r="C50">
            <v>10.24</v>
          </cell>
          <cell r="D50">
            <v>202.82</v>
          </cell>
          <cell r="E50">
            <v>2.3950546092599133E-2</v>
          </cell>
          <cell r="F50">
            <v>4.8947723767284275E-3</v>
          </cell>
          <cell r="G50">
            <v>-2.2162583870203399E-3</v>
          </cell>
          <cell r="H50">
            <v>190.93987462093108</v>
          </cell>
          <cell r="I50">
            <v>10.234437566032312</v>
          </cell>
          <cell r="J50">
            <v>226.0939563631147</v>
          </cell>
        </row>
        <row r="51">
          <cell r="B51">
            <v>203.34</v>
          </cell>
          <cell r="C51">
            <v>10.1</v>
          </cell>
          <cell r="D51">
            <v>200.63</v>
          </cell>
          <cell r="E51">
            <v>4.6335174337044076E-3</v>
          </cell>
          <cell r="F51">
            <v>-1.3766195764147959E-2</v>
          </cell>
          <cell r="G51">
            <v>-1.085647049174078E-2</v>
          </cell>
          <cell r="H51">
            <v>202.71309984579634</v>
          </cell>
          <cell r="I51">
            <v>10.393503394240117</v>
          </cell>
          <cell r="J51">
            <v>224.4367160746703</v>
          </cell>
        </row>
        <row r="52">
          <cell r="B52">
            <v>205.18</v>
          </cell>
          <cell r="C52">
            <v>10.26</v>
          </cell>
          <cell r="D52">
            <v>203.92</v>
          </cell>
          <cell r="E52">
            <v>9.0081878125517333E-3</v>
          </cell>
          <cell r="F52">
            <v>1.5717415895409724E-2</v>
          </cell>
          <cell r="G52">
            <v>1.6265344375750522E-2</v>
          </cell>
          <cell r="H52">
            <v>204.75646459507797</v>
          </cell>
          <cell r="I52">
            <v>10.392350726773932</v>
          </cell>
          <cell r="J52">
            <v>221.28185933134264</v>
          </cell>
        </row>
        <row r="53">
          <cell r="B53">
            <v>207</v>
          </cell>
          <cell r="C53">
            <v>10.34</v>
          </cell>
          <cell r="D53">
            <v>201.45</v>
          </cell>
          <cell r="E53">
            <v>8.8311506058023573E-3</v>
          </cell>
          <cell r="F53">
            <v>7.7670293376595964E-3</v>
          </cell>
          <cell r="G53">
            <v>-1.2186548430503737E-2</v>
          </cell>
          <cell r="H53">
            <v>203.35316321838502</v>
          </cell>
          <cell r="I53">
            <v>10.574857004627612</v>
          </cell>
          <cell r="J53">
            <v>219.28278995941017</v>
          </cell>
        </row>
        <row r="54">
          <cell r="B54">
            <v>212.46</v>
          </cell>
          <cell r="C54">
            <v>10.6</v>
          </cell>
          <cell r="D54">
            <v>202.67</v>
          </cell>
          <cell r="E54">
            <v>2.6034942086498303E-2</v>
          </cell>
          <cell r="F54">
            <v>2.4834132037738394E-2</v>
          </cell>
          <cell r="G54">
            <v>6.0378288938655912E-3</v>
          </cell>
          <cell r="H54">
            <v>199.12393346424273</v>
          </cell>
          <cell r="I54">
            <v>10.423238973478764</v>
          </cell>
          <cell r="J54">
            <v>224.7195954495009</v>
          </cell>
        </row>
        <row r="55">
          <cell r="B55">
            <v>214.1</v>
          </cell>
          <cell r="C55">
            <v>10.66</v>
          </cell>
          <cell r="D55">
            <v>198.78</v>
          </cell>
          <cell r="E55">
            <v>7.6894602437697027E-3</v>
          </cell>
          <cell r="F55">
            <v>5.6444176196771313E-3</v>
          </cell>
          <cell r="G55">
            <v>-1.9380354991362321E-2</v>
          </cell>
          <cell r="H55">
            <v>203.18176050474338</v>
          </cell>
          <cell r="I55">
            <v>10.25619281600774</v>
          </cell>
          <cell r="J55">
            <v>226.6124247891378</v>
          </cell>
        </row>
        <row r="56">
          <cell r="B56">
            <v>215.43</v>
          </cell>
          <cell r="C56">
            <v>10.53</v>
          </cell>
          <cell r="D56">
            <v>199.2</v>
          </cell>
          <cell r="E56">
            <v>6.1928351946988281E-3</v>
          </cell>
          <cell r="F56">
            <v>-1.227009259181447E-2</v>
          </cell>
          <cell r="G56">
            <v>2.1106596106382439E-3</v>
          </cell>
          <cell r="H56">
            <v>198.51621509395025</v>
          </cell>
          <cell r="I56">
            <v>10.246329661490041</v>
          </cell>
          <cell r="J56">
            <v>219.26397255022451</v>
          </cell>
        </row>
        <row r="57">
          <cell r="B57">
            <v>211.1</v>
          </cell>
          <cell r="C57">
            <v>10.43</v>
          </cell>
          <cell r="D57">
            <v>196.45</v>
          </cell>
          <cell r="E57">
            <v>-2.0304075936061042E-2</v>
          </cell>
          <cell r="F57">
            <v>-9.5420571332030472E-3</v>
          </cell>
          <cell r="G57">
            <v>-1.3901399146029038E-2</v>
          </cell>
          <cell r="H57">
            <v>197.07331064645734</v>
          </cell>
          <cell r="I57">
            <v>10.311144375704766</v>
          </cell>
          <cell r="J57">
            <v>218.80686025409429</v>
          </cell>
        </row>
        <row r="58">
          <cell r="B58">
            <v>215.68</v>
          </cell>
          <cell r="C58">
            <v>10.62</v>
          </cell>
          <cell r="D58">
            <v>198.42</v>
          </cell>
          <cell r="E58">
            <v>2.1463872869667316E-2</v>
          </cell>
          <cell r="F58">
            <v>1.8052746801111748E-2</v>
          </cell>
          <cell r="G58">
            <v>9.9780502172876224E-3</v>
          </cell>
          <cell r="H58">
            <v>200.26180665532181</v>
          </cell>
          <cell r="I58">
            <v>9.9935526079662829</v>
          </cell>
          <cell r="J58">
            <v>211.31686633020806</v>
          </cell>
        </row>
        <row r="59">
          <cell r="B59">
            <v>213.9</v>
          </cell>
          <cell r="C59">
            <v>10.42</v>
          </cell>
          <cell r="D59">
            <v>195.64</v>
          </cell>
          <cell r="E59">
            <v>-8.2872116355822804E-3</v>
          </cell>
          <cell r="F59">
            <v>-1.901197948857189E-2</v>
          </cell>
          <cell r="G59">
            <v>-1.4109760550600002E-2</v>
          </cell>
          <cell r="H59">
            <v>202.50391062943663</v>
          </cell>
          <cell r="I59">
            <v>9.8407671061119402</v>
          </cell>
          <cell r="J59">
            <v>215.73162399453224</v>
          </cell>
        </row>
        <row r="60">
          <cell r="B60">
            <v>213.5</v>
          </cell>
          <cell r="C60">
            <v>10.43</v>
          </cell>
          <cell r="D60">
            <v>196.58</v>
          </cell>
          <cell r="E60">
            <v>-1.8717834196807367E-3</v>
          </cell>
          <cell r="F60">
            <v>9.5923268746013425E-4</v>
          </cell>
          <cell r="G60">
            <v>4.7932374673270439E-3</v>
          </cell>
          <cell r="H60">
            <v>197.17690363116515</v>
          </cell>
          <cell r="I60">
            <v>9.8563805611423412</v>
          </cell>
          <cell r="J60">
            <v>218.74450910585108</v>
          </cell>
        </row>
        <row r="61">
          <cell r="B61">
            <v>209.51</v>
          </cell>
          <cell r="C61">
            <v>10.59</v>
          </cell>
          <cell r="D61">
            <v>201</v>
          </cell>
          <cell r="E61">
            <v>-1.8865361748758455E-2</v>
          </cell>
          <cell r="F61">
            <v>1.5223890600634022E-2</v>
          </cell>
          <cell r="G61">
            <v>2.2235434920592347E-2</v>
          </cell>
          <cell r="H61">
            <v>197.70968056618608</v>
          </cell>
          <cell r="I61">
            <v>9.7240707125570633</v>
          </cell>
          <cell r="J61">
            <v>218.5448940250491</v>
          </cell>
        </row>
        <row r="62">
          <cell r="B62">
            <v>210.32</v>
          </cell>
          <cell r="C62">
            <v>10.75</v>
          </cell>
          <cell r="D62">
            <v>201.5</v>
          </cell>
          <cell r="E62">
            <v>3.858709501704824E-3</v>
          </cell>
          <cell r="F62">
            <v>1.4995594960356831E-2</v>
          </cell>
          <cell r="G62">
            <v>2.4844733276619658E-3</v>
          </cell>
          <cell r="H62">
            <v>194.56935230495512</v>
          </cell>
          <cell r="I62">
            <v>9.834870610483831</v>
          </cell>
          <cell r="J62">
            <v>219.48465156236696</v>
          </cell>
        </row>
        <row r="63">
          <cell r="B63">
            <v>220.09</v>
          </cell>
          <cell r="C63">
            <v>10.73</v>
          </cell>
          <cell r="D63">
            <v>200.3</v>
          </cell>
          <cell r="E63">
            <v>4.5406373184954864E-2</v>
          </cell>
          <cell r="F63">
            <v>-1.8621979310646511E-3</v>
          </cell>
          <cell r="G63">
            <v>-5.9731387149650926E-3</v>
          </cell>
          <cell r="H63">
            <v>197.20388385307604</v>
          </cell>
          <cell r="I63">
            <v>9.9529853897919391</v>
          </cell>
          <cell r="J63">
            <v>215.13798281531993</v>
          </cell>
        </row>
        <row r="64">
          <cell r="B64">
            <v>222.74</v>
          </cell>
          <cell r="C64">
            <v>10.48</v>
          </cell>
          <cell r="D64">
            <v>201.56</v>
          </cell>
          <cell r="E64">
            <v>1.1968618358373427E-2</v>
          </cell>
          <cell r="F64">
            <v>-2.3574877749710996E-2</v>
          </cell>
          <cell r="G64">
            <v>6.2708611406248112E-3</v>
          </cell>
          <cell r="H64">
            <v>192.72852321239603</v>
          </cell>
          <cell r="I64">
            <v>9.9353151433129074</v>
          </cell>
          <cell r="J64">
            <v>204.77596239294684</v>
          </cell>
        </row>
        <row r="65">
          <cell r="B65">
            <v>224.01</v>
          </cell>
          <cell r="C65">
            <v>10.63</v>
          </cell>
          <cell r="D65">
            <v>201</v>
          </cell>
          <cell r="E65">
            <v>5.6855217507659163E-3</v>
          </cell>
          <cell r="F65">
            <v>1.4211513460960548E-2</v>
          </cell>
          <cell r="G65">
            <v>-2.782195753321553E-3</v>
          </cell>
          <cell r="H65">
            <v>190.83792233699378</v>
          </cell>
          <cell r="I65">
            <v>9.9402034543345028</v>
          </cell>
          <cell r="J65">
            <v>210.75382875678449</v>
          </cell>
        </row>
        <row r="66">
          <cell r="B66">
            <v>228.57</v>
          </cell>
          <cell r="C66">
            <v>10.8</v>
          </cell>
          <cell r="D66">
            <v>201.08</v>
          </cell>
          <cell r="E66">
            <v>2.0151815437307912E-2</v>
          </cell>
          <cell r="F66">
            <v>1.5865941776317376E-2</v>
          </cell>
          <cell r="G66">
            <v>3.9793076529873232E-4</v>
          </cell>
          <cell r="H66">
            <v>189.8711096477451</v>
          </cell>
          <cell r="I66">
            <v>9.9979433721249062</v>
          </cell>
          <cell r="J66">
            <v>210.56664887413987</v>
          </cell>
        </row>
        <row r="67">
          <cell r="B67">
            <v>226.49</v>
          </cell>
          <cell r="C67">
            <v>10.85</v>
          </cell>
          <cell r="D67">
            <v>205.17</v>
          </cell>
          <cell r="E67">
            <v>-9.1417153149592964E-3</v>
          </cell>
          <cell r="F67">
            <v>4.6189458562944583E-3</v>
          </cell>
          <cell r="G67">
            <v>2.0136064953739752E-2</v>
          </cell>
          <cell r="H67">
            <v>189.6439969307585</v>
          </cell>
          <cell r="I67">
            <v>9.8150058361251435</v>
          </cell>
          <cell r="J67">
            <v>204.6205062552049</v>
          </cell>
        </row>
        <row r="68">
          <cell r="B68">
            <v>224.68</v>
          </cell>
          <cell r="C68">
            <v>11.35</v>
          </cell>
          <cell r="D68">
            <v>207.82</v>
          </cell>
          <cell r="E68">
            <v>-8.0236261738366767E-3</v>
          </cell>
          <cell r="F68">
            <v>4.5052663940943143E-2</v>
          </cell>
          <cell r="G68">
            <v>1.2833416646386379E-2</v>
          </cell>
          <cell r="H68">
            <v>196.73352089346454</v>
          </cell>
          <cell r="I68">
            <v>10.206171828106685</v>
          </cell>
          <cell r="J68">
            <v>205.93641308544068</v>
          </cell>
        </row>
        <row r="69">
          <cell r="B69">
            <v>233.6</v>
          </cell>
          <cell r="C69">
            <v>11.77</v>
          </cell>
          <cell r="D69">
            <v>212.44</v>
          </cell>
          <cell r="E69">
            <v>3.8933083289839979E-2</v>
          </cell>
          <cell r="F69">
            <v>3.6336177344773686E-2</v>
          </cell>
          <cell r="G69">
            <v>2.1987275129697868E-2</v>
          </cell>
          <cell r="H69">
            <v>200.30650165684784</v>
          </cell>
          <cell r="I69">
            <v>10.266584066845754</v>
          </cell>
          <cell r="J69">
            <v>202.08027472991145</v>
          </cell>
        </row>
        <row r="70">
          <cell r="B70">
            <v>234.8</v>
          </cell>
          <cell r="C70">
            <v>11.81</v>
          </cell>
          <cell r="D70">
            <v>213.55</v>
          </cell>
          <cell r="E70">
            <v>5.1238369998694664E-3</v>
          </cell>
          <cell r="F70">
            <v>3.3927089370857089E-3</v>
          </cell>
          <cell r="G70">
            <v>5.2114017332771934E-3</v>
          </cell>
          <cell r="H70">
            <v>194.81272682187017</v>
          </cell>
          <cell r="I70">
            <v>10.198341196258509</v>
          </cell>
          <cell r="J70">
            <v>201.05232110669252</v>
          </cell>
        </row>
        <row r="71">
          <cell r="B71">
            <v>229.17</v>
          </cell>
          <cell r="C71">
            <v>11.59</v>
          </cell>
          <cell r="D71">
            <v>209.95</v>
          </cell>
          <cell r="E71">
            <v>-2.427000173256352E-2</v>
          </cell>
          <cell r="F71">
            <v>-1.8803972857610606E-2</v>
          </cell>
          <cell r="G71">
            <v>-1.7001590157273334E-2</v>
          </cell>
          <cell r="H71">
            <v>201.78390104170111</v>
          </cell>
          <cell r="I71">
            <v>9.8568960145350992</v>
          </cell>
          <cell r="J71">
            <v>200.76803875518451</v>
          </cell>
        </row>
        <row r="72">
          <cell r="B72">
            <v>227.86</v>
          </cell>
          <cell r="C72">
            <v>11.68</v>
          </cell>
          <cell r="D72">
            <v>210.01</v>
          </cell>
          <cell r="E72">
            <v>-5.7326809514081974E-3</v>
          </cell>
          <cell r="F72">
            <v>7.7353200484207366E-3</v>
          </cell>
          <cell r="G72">
            <v>2.8574150113462317E-4</v>
          </cell>
          <cell r="H72">
            <v>198.62321095381353</v>
          </cell>
          <cell r="I72">
            <v>10.062533409102139</v>
          </cell>
          <cell r="J72">
            <v>201.07394961394749</v>
          </cell>
        </row>
        <row r="73">
          <cell r="B73">
            <v>231.84</v>
          </cell>
          <cell r="C73">
            <v>11.83</v>
          </cell>
          <cell r="D73">
            <v>211.14</v>
          </cell>
          <cell r="E73">
            <v>1.7316073302402493E-2</v>
          </cell>
          <cell r="F73">
            <v>1.2760700590214488E-2</v>
          </cell>
          <cell r="G73">
            <v>5.3662719302117997E-3</v>
          </cell>
          <cell r="H73">
            <v>199.57411847847257</v>
          </cell>
          <cell r="I73">
            <v>9.7863403230186918</v>
          </cell>
          <cell r="J73">
            <v>203.62282949061654</v>
          </cell>
        </row>
        <row r="74">
          <cell r="B74">
            <v>229.76</v>
          </cell>
          <cell r="C74">
            <v>11.91</v>
          </cell>
          <cell r="D74">
            <v>212.41</v>
          </cell>
          <cell r="E74">
            <v>-9.0121927125129918E-3</v>
          </cell>
          <cell r="F74">
            <v>6.7397053769132353E-3</v>
          </cell>
          <cell r="G74">
            <v>5.9969486772448706E-3</v>
          </cell>
          <cell r="H74">
            <v>201.54122672194538</v>
          </cell>
          <cell r="I74">
            <v>9.7919379362367653</v>
          </cell>
          <cell r="J74">
            <v>204.40487289649607</v>
          </cell>
        </row>
        <row r="75">
          <cell r="B75">
            <v>230.4</v>
          </cell>
          <cell r="C75">
            <v>11.78</v>
          </cell>
          <cell r="D75">
            <v>211.16</v>
          </cell>
          <cell r="E75">
            <v>2.7816429618767705E-3</v>
          </cell>
          <cell r="F75">
            <v>-1.0975205143768135E-2</v>
          </cell>
          <cell r="G75">
            <v>-5.902229283378157E-3</v>
          </cell>
          <cell r="H75">
            <v>198.88204884876492</v>
          </cell>
          <cell r="I75">
            <v>9.6376085880474811</v>
          </cell>
          <cell r="J75">
            <v>199.7251036581109</v>
          </cell>
        </row>
        <row r="76">
          <cell r="B76">
            <v>228.67</v>
          </cell>
          <cell r="C76">
            <v>11.88</v>
          </cell>
          <cell r="D76">
            <v>208.62</v>
          </cell>
          <cell r="E76">
            <v>-7.5370126107327283E-3</v>
          </cell>
          <cell r="F76">
            <v>8.4531357110584106E-3</v>
          </cell>
          <cell r="G76">
            <v>-1.210172470759039E-2</v>
          </cell>
          <cell r="H76">
            <v>190.08951601017708</v>
          </cell>
          <cell r="I76">
            <v>9.935771386603351</v>
          </cell>
          <cell r="J76">
            <v>194.24334765710299</v>
          </cell>
        </row>
        <row r="77">
          <cell r="B77">
            <v>236.95</v>
          </cell>
          <cell r="C77">
            <v>11.57</v>
          </cell>
          <cell r="D77">
            <v>209.11</v>
          </cell>
          <cell r="E77">
            <v>3.5569232202593719E-2</v>
          </cell>
          <cell r="F77">
            <v>-2.644077272891374E-2</v>
          </cell>
          <cell r="G77">
            <v>2.3460140508832585E-3</v>
          </cell>
          <cell r="H77">
            <v>184.41479898033276</v>
          </cell>
          <cell r="I77">
            <v>9.8689317335654483</v>
          </cell>
          <cell r="J77">
            <v>192.57689839013102</v>
          </cell>
        </row>
        <row r="78">
          <cell r="B78">
            <v>237.56</v>
          </cell>
          <cell r="C78">
            <v>11.24</v>
          </cell>
          <cell r="D78">
            <v>210.16</v>
          </cell>
          <cell r="E78">
            <v>2.571074734062183E-3</v>
          </cell>
          <cell r="F78">
            <v>-2.8936696740040211E-2</v>
          </cell>
          <cell r="G78">
            <v>5.0087160785759338E-3</v>
          </cell>
          <cell r="H78">
            <v>183.46106695964949</v>
          </cell>
          <cell r="I78">
            <v>9.8530521993518629</v>
          </cell>
          <cell r="J78">
            <v>192.85290829652001</v>
          </cell>
        </row>
        <row r="79">
          <cell r="B79">
            <v>245.6</v>
          </cell>
          <cell r="C79">
            <v>11.15</v>
          </cell>
          <cell r="D79">
            <v>210.02</v>
          </cell>
          <cell r="E79">
            <v>3.3283973125327972E-2</v>
          </cell>
          <cell r="F79">
            <v>-8.0393465594172531E-3</v>
          </cell>
          <cell r="G79">
            <v>-6.6638109943707117E-4</v>
          </cell>
          <cell r="H79">
            <v>182.29806664770345</v>
          </cell>
          <cell r="I79">
            <v>9.7054485220524747</v>
          </cell>
          <cell r="J79">
            <v>192.85554833985717</v>
          </cell>
        </row>
        <row r="80">
          <cell r="B80">
            <v>240.4</v>
          </cell>
          <cell r="C80">
            <v>11.16</v>
          </cell>
          <cell r="D80">
            <v>211.18</v>
          </cell>
          <cell r="E80">
            <v>-2.1399993611934894E-2</v>
          </cell>
          <cell r="F80">
            <v>8.9645904703720568E-4</v>
          </cell>
          <cell r="G80">
            <v>5.5080861005209316E-3</v>
          </cell>
          <cell r="H80">
            <v>179.75663767386121</v>
          </cell>
          <cell r="I80">
            <v>9.7190952137237563</v>
          </cell>
          <cell r="J80">
            <v>190.90507300631012</v>
          </cell>
        </row>
        <row r="81">
          <cell r="B81">
            <v>238.85</v>
          </cell>
          <cell r="C81">
            <v>11.31</v>
          </cell>
          <cell r="D81">
            <v>212.48</v>
          </cell>
          <cell r="E81">
            <v>-6.4684628250816561E-3</v>
          </cell>
          <cell r="F81">
            <v>1.3351333174864196E-2</v>
          </cell>
          <cell r="G81">
            <v>6.1370159097006195E-3</v>
          </cell>
          <cell r="H81">
            <v>173.84315157424086</v>
          </cell>
          <cell r="I81">
            <v>9.4606816976671926</v>
          </cell>
          <cell r="J81">
            <v>190.97774517879631</v>
          </cell>
        </row>
        <row r="82">
          <cell r="B82">
            <v>234.6</v>
          </cell>
          <cell r="C82">
            <v>11.19</v>
          </cell>
          <cell r="D82">
            <v>214.4</v>
          </cell>
          <cell r="E82">
            <v>-1.795380361659582E-2</v>
          </cell>
          <cell r="F82">
            <v>-1.0666767804195303E-2</v>
          </cell>
          <cell r="G82">
            <v>8.9955629085780031E-3</v>
          </cell>
          <cell r="H82">
            <v>176.03201414905752</v>
          </cell>
          <cell r="I82">
            <v>9.4845512080659695</v>
          </cell>
          <cell r="J82">
            <v>189.9684686367477</v>
          </cell>
        </row>
        <row r="83">
          <cell r="B83">
            <v>240.33</v>
          </cell>
          <cell r="C83">
            <v>11.38</v>
          </cell>
          <cell r="D83">
            <v>214.15</v>
          </cell>
          <cell r="E83">
            <v>2.4131042675760089E-2</v>
          </cell>
          <cell r="F83">
            <v>1.6836906374351153E-2</v>
          </cell>
          <cell r="G83">
            <v>-1.1667251352669031E-3</v>
          </cell>
          <cell r="H83">
            <v>177.0698000282635</v>
          </cell>
          <cell r="I83">
            <v>9.5251102492598729</v>
          </cell>
          <cell r="J83">
            <v>190.97598849856158</v>
          </cell>
        </row>
        <row r="84">
          <cell r="B84">
            <v>241.6</v>
          </cell>
          <cell r="C84">
            <v>11.26</v>
          </cell>
          <cell r="D84">
            <v>213.76</v>
          </cell>
          <cell r="E84">
            <v>5.2704871655247579E-3</v>
          </cell>
          <cell r="F84">
            <v>-1.0600805986640574E-2</v>
          </cell>
          <cell r="G84">
            <v>-1.8228137130991598E-3</v>
          </cell>
          <cell r="H84">
            <v>169.7968929079114</v>
          </cell>
          <cell r="I84">
            <v>9.401330115986589</v>
          </cell>
          <cell r="J84">
            <v>188.38596778117622</v>
          </cell>
        </row>
        <row r="85">
          <cell r="B85">
            <v>245.6</v>
          </cell>
          <cell r="C85">
            <v>11.47</v>
          </cell>
          <cell r="D85">
            <v>213.88</v>
          </cell>
          <cell r="E85">
            <v>1.642073021232749E-2</v>
          </cell>
          <cell r="F85">
            <v>1.8478308429735069E-2</v>
          </cell>
          <cell r="G85">
            <v>5.6121973225001546E-4</v>
          </cell>
          <cell r="H85">
            <v>177.41914921115423</v>
          </cell>
          <cell r="I85">
            <v>9.4616002767420522</v>
          </cell>
          <cell r="J85">
            <v>190.94467729682313</v>
          </cell>
        </row>
        <row r="86">
          <cell r="B86">
            <v>242.75</v>
          </cell>
          <cell r="C86">
            <v>11.28</v>
          </cell>
          <cell r="D86">
            <v>214.05</v>
          </cell>
          <cell r="E86">
            <v>-1.1672089101553026E-2</v>
          </cell>
          <cell r="F86">
            <v>-1.6703685071366603E-2</v>
          </cell>
          <cell r="G86">
            <v>7.9452251042439034E-4</v>
          </cell>
          <cell r="H86">
            <v>172.03810757648753</v>
          </cell>
          <cell r="I86">
            <v>9.4637365227372463</v>
          </cell>
          <cell r="J86">
            <v>188.58808843137083</v>
          </cell>
        </row>
        <row r="87">
          <cell r="B87">
            <v>241.33</v>
          </cell>
          <cell r="C87">
            <v>11.08</v>
          </cell>
          <cell r="D87">
            <v>211.27</v>
          </cell>
          <cell r="E87">
            <v>-5.8668157039124388E-3</v>
          </cell>
          <cell r="F87">
            <v>-1.7889564750775057E-2</v>
          </cell>
          <cell r="G87">
            <v>-1.3072696278811793E-2</v>
          </cell>
          <cell r="H87">
            <v>171.56615443149238</v>
          </cell>
          <cell r="I87">
            <v>9.7032993517063062</v>
          </cell>
          <cell r="J87">
            <v>183.36358783035257</v>
          </cell>
        </row>
        <row r="88">
          <cell r="B88">
            <v>242.91</v>
          </cell>
          <cell r="C88">
            <v>10.87</v>
          </cell>
          <cell r="D88">
            <v>209.05</v>
          </cell>
          <cell r="E88">
            <v>6.5257128986108016E-3</v>
          </cell>
          <cell r="F88">
            <v>-1.9134980186019723E-2</v>
          </cell>
          <cell r="G88">
            <v>-1.0563478509569259E-2</v>
          </cell>
          <cell r="H88">
            <v>178.51428877118465</v>
          </cell>
          <cell r="I88">
            <v>9.8589729184379387</v>
          </cell>
          <cell r="J88">
            <v>183.02583150574972</v>
          </cell>
        </row>
        <row r="89">
          <cell r="B89">
            <v>241.62</v>
          </cell>
          <cell r="C89">
            <v>11.07</v>
          </cell>
          <cell r="D89">
            <v>207.57</v>
          </cell>
          <cell r="E89">
            <v>-5.3247602747148893E-3</v>
          </cell>
          <cell r="F89">
            <v>1.8232045587427425E-2</v>
          </cell>
          <cell r="G89">
            <v>-7.104825623744683E-3</v>
          </cell>
          <cell r="H89">
            <v>178.58212115058154</v>
          </cell>
          <cell r="I89">
            <v>9.7719068697159983</v>
          </cell>
          <cell r="J89">
            <v>181.15165643244362</v>
          </cell>
        </row>
        <row r="90">
          <cell r="B90">
            <v>235.21</v>
          </cell>
          <cell r="C90">
            <v>10.82</v>
          </cell>
          <cell r="D90">
            <v>202.38</v>
          </cell>
          <cell r="E90">
            <v>-2.6887511963965476E-2</v>
          </cell>
          <cell r="F90">
            <v>-2.2842473302210096E-2</v>
          </cell>
          <cell r="G90">
            <v>-2.5321513877215478E-2</v>
          </cell>
          <cell r="H90">
            <v>178.08038957453476</v>
          </cell>
          <cell r="I90">
            <v>9.5440621011349531</v>
          </cell>
          <cell r="J90">
            <v>182.25333801291848</v>
          </cell>
        </row>
        <row r="91">
          <cell r="B91">
            <v>239</v>
          </cell>
          <cell r="C91">
            <v>10.95</v>
          </cell>
          <cell r="D91">
            <v>203.35</v>
          </cell>
          <cell r="E91">
            <v>1.5984819804058345E-2</v>
          </cell>
          <cell r="F91">
            <v>1.1943182844174186E-2</v>
          </cell>
          <cell r="G91">
            <v>4.7815140516196241E-3</v>
          </cell>
          <cell r="H91">
            <v>177.44745424263326</v>
          </cell>
          <cell r="I91">
            <v>9.347532650750674</v>
          </cell>
          <cell r="J91">
            <v>180.80295060932266</v>
          </cell>
        </row>
        <row r="92">
          <cell r="B92">
            <v>232.47</v>
          </cell>
          <cell r="C92">
            <v>11.06</v>
          </cell>
          <cell r="D92">
            <v>202.92</v>
          </cell>
          <cell r="E92">
            <v>-2.7702367487542214E-2</v>
          </cell>
          <cell r="F92">
            <v>9.9955398316790567E-3</v>
          </cell>
          <cell r="G92">
            <v>-2.1168196547443788E-3</v>
          </cell>
          <cell r="H92">
            <v>177.10087624547299</v>
          </cell>
          <cell r="I92">
            <v>9.1739736810843393</v>
          </cell>
          <cell r="J92">
            <v>176.81615748867597</v>
          </cell>
        </row>
        <row r="93">
          <cell r="B93">
            <v>231.37</v>
          </cell>
          <cell r="C93">
            <v>11.21</v>
          </cell>
          <cell r="D93">
            <v>213.25</v>
          </cell>
          <cell r="E93">
            <v>-4.7430237243777417E-3</v>
          </cell>
          <cell r="F93">
            <v>1.3471240989879779E-2</v>
          </cell>
          <cell r="G93">
            <v>4.9653373673299327E-2</v>
          </cell>
          <cell r="H93">
            <v>169.47768659122238</v>
          </cell>
          <cell r="I93">
            <v>8.9712607675324083</v>
          </cell>
          <cell r="J93">
            <v>181.80661698178525</v>
          </cell>
        </row>
        <row r="94">
          <cell r="B94">
            <v>242.62</v>
          </cell>
          <cell r="C94">
            <v>11.28</v>
          </cell>
          <cell r="D94">
            <v>220.03</v>
          </cell>
          <cell r="E94">
            <v>4.7478272623182598E-2</v>
          </cell>
          <cell r="F94">
            <v>6.2250089858442333E-3</v>
          </cell>
          <cell r="G94">
            <v>3.1298714320261108E-2</v>
          </cell>
          <cell r="H94">
            <v>170.50730662276212</v>
          </cell>
          <cell r="I94">
            <v>9.0239175892954471</v>
          </cell>
          <cell r="J94">
            <v>174.56824119500732</v>
          </cell>
        </row>
        <row r="95">
          <cell r="B95">
            <v>241.83</v>
          </cell>
          <cell r="C95">
            <v>11.32</v>
          </cell>
          <cell r="D95">
            <v>229.35</v>
          </cell>
          <cell r="E95">
            <v>-3.2614333791540131E-3</v>
          </cell>
          <cell r="F95">
            <v>3.539826705124208E-3</v>
          </cell>
          <cell r="G95">
            <v>4.1485320351131408E-2</v>
          </cell>
          <cell r="H95">
            <v>177.78069310653368</v>
          </cell>
          <cell r="I95">
            <v>8.923314405397381</v>
          </cell>
          <cell r="J95">
            <v>173.9960635205174</v>
          </cell>
        </row>
        <row r="96">
          <cell r="B96">
            <v>242.09</v>
          </cell>
          <cell r="C96">
            <v>11.14</v>
          </cell>
          <cell r="D96">
            <v>227.18</v>
          </cell>
          <cell r="E96">
            <v>1.0745578815420573E-3</v>
          </cell>
          <cell r="F96">
            <v>-1.6028838275898915E-2</v>
          </cell>
          <cell r="G96">
            <v>-9.506566239905357E-3</v>
          </cell>
          <cell r="H96">
            <v>182.73367967660559</v>
          </cell>
          <cell r="I96">
            <v>9.122248595205896</v>
          </cell>
          <cell r="J96">
            <v>172.31851003283379</v>
          </cell>
        </row>
        <row r="97">
          <cell r="B97">
            <v>244.29</v>
          </cell>
          <cell r="C97">
            <v>11.25</v>
          </cell>
          <cell r="D97">
            <v>229.65</v>
          </cell>
          <cell r="E97">
            <v>9.0464863019880989E-3</v>
          </cell>
          <cell r="F97">
            <v>9.8258941512912E-3</v>
          </cell>
          <cell r="G97">
            <v>1.0813755968526953E-2</v>
          </cell>
          <cell r="H97">
            <v>181.00126313943969</v>
          </cell>
          <cell r="I97">
            <v>8.9156528761007525</v>
          </cell>
          <cell r="J97">
            <v>172.56058780310741</v>
          </cell>
        </row>
        <row r="98">
          <cell r="B98">
            <v>241.44</v>
          </cell>
          <cell r="C98">
            <v>11.44</v>
          </cell>
          <cell r="D98">
            <v>233.33</v>
          </cell>
          <cell r="E98">
            <v>-1.1735049127610796E-2</v>
          </cell>
          <cell r="F98">
            <v>1.6747857301222763E-2</v>
          </cell>
          <cell r="G98">
            <v>1.5897349787165019E-2</v>
          </cell>
          <cell r="H98">
            <v>180.93718483774558</v>
          </cell>
          <cell r="I98">
            <v>9.2167985315702818</v>
          </cell>
          <cell r="J98">
            <v>171.12375546023259</v>
          </cell>
        </row>
        <row r="99">
          <cell r="B99">
            <v>241</v>
          </cell>
          <cell r="C99">
            <v>11.44</v>
          </cell>
          <cell r="D99">
            <v>232.78</v>
          </cell>
          <cell r="E99">
            <v>-1.8240615288837674E-3</v>
          </cell>
          <cell r="F99">
            <v>0</v>
          </cell>
          <cell r="G99">
            <v>-2.3599590451372499E-3</v>
          </cell>
          <cell r="H99">
            <v>180.65315614019073</v>
          </cell>
          <cell r="I99">
            <v>9.3090485133480474</v>
          </cell>
          <cell r="J99">
            <v>164.36209240336319</v>
          </cell>
        </row>
        <row r="100">
          <cell r="B100">
            <v>238.88</v>
          </cell>
          <cell r="C100">
            <v>11.44</v>
          </cell>
          <cell r="D100">
            <v>231.59</v>
          </cell>
          <cell r="E100">
            <v>-8.8355996997747984E-3</v>
          </cell>
          <cell r="F100">
            <v>0</v>
          </cell>
          <cell r="G100">
            <v>-5.1252346401009499E-3</v>
          </cell>
          <cell r="H100">
            <v>182.72188312426684</v>
          </cell>
          <cell r="I100">
            <v>9.1792239015493777</v>
          </cell>
          <cell r="J100">
            <v>162.91208626536371</v>
          </cell>
        </row>
        <row r="101">
          <cell r="B101">
            <v>241.41</v>
          </cell>
          <cell r="C101">
            <v>11.46</v>
          </cell>
          <cell r="D101">
            <v>230.89</v>
          </cell>
          <cell r="E101">
            <v>1.0535399035270916E-2</v>
          </cell>
          <cell r="F101">
            <v>1.7467253349418002E-3</v>
          </cell>
          <cell r="G101">
            <v>-3.0271602428172274E-3</v>
          </cell>
          <cell r="H101">
            <v>185.96083055630069</v>
          </cell>
          <cell r="I101">
            <v>9.2284994283911335</v>
          </cell>
          <cell r="J101">
            <v>163.49130962607705</v>
          </cell>
        </row>
        <row r="102">
          <cell r="B102">
            <v>232.7</v>
          </cell>
          <cell r="C102">
            <v>11.58</v>
          </cell>
          <cell r="D102">
            <v>230.56</v>
          </cell>
          <cell r="E102">
            <v>-3.674666251790517E-2</v>
          </cell>
          <cell r="F102">
            <v>1.041676085825558E-2</v>
          </cell>
          <cell r="G102">
            <v>-1.430274379700124E-3</v>
          </cell>
          <cell r="H102">
            <v>185.7062972624131</v>
          </cell>
          <cell r="I102">
            <v>9.3722499492315556</v>
          </cell>
          <cell r="J102">
            <v>166.56061889576395</v>
          </cell>
        </row>
        <row r="103">
          <cell r="B103">
            <v>228.6</v>
          </cell>
          <cell r="C103">
            <v>11.49</v>
          </cell>
          <cell r="D103">
            <v>226.01</v>
          </cell>
          <cell r="E103">
            <v>-1.7776318947535709E-2</v>
          </cell>
          <cell r="F103">
            <v>-7.802380284184899E-3</v>
          </cell>
          <cell r="G103">
            <v>-1.9931886170219938E-2</v>
          </cell>
          <cell r="H103">
            <v>192.86214344784284</v>
          </cell>
          <cell r="I103">
            <v>9.6216557905277433</v>
          </cell>
          <cell r="J103">
            <v>162.50261743512914</v>
          </cell>
        </row>
        <row r="104">
          <cell r="B104">
            <v>227.33</v>
          </cell>
          <cell r="C104">
            <v>11.33</v>
          </cell>
          <cell r="D104">
            <v>224.9</v>
          </cell>
          <cell r="E104">
            <v>-5.5710450494552482E-3</v>
          </cell>
          <cell r="F104">
            <v>-1.40230168207494E-2</v>
          </cell>
          <cell r="G104">
            <v>-4.9233871157219602E-3</v>
          </cell>
          <cell r="H104">
            <v>190.14719831661034</v>
          </cell>
          <cell r="I104">
            <v>9.739706240773403</v>
          </cell>
          <cell r="J104">
            <v>162.53599794627775</v>
          </cell>
        </row>
        <row r="105">
          <cell r="B105">
            <v>232.99</v>
          </cell>
          <cell r="C105">
            <v>11.74</v>
          </cell>
          <cell r="D105">
            <v>227.76</v>
          </cell>
          <cell r="E105">
            <v>2.4592827878486743E-2</v>
          </cell>
          <cell r="F105">
            <v>3.5547739360035351E-2</v>
          </cell>
          <cell r="G105">
            <v>1.2636584004512057E-2</v>
          </cell>
          <cell r="H105">
            <v>190.75568759729208</v>
          </cell>
          <cell r="I105">
            <v>9.5685532712464827</v>
          </cell>
          <cell r="J105">
            <v>160.94865580010443</v>
          </cell>
        </row>
        <row r="106">
          <cell r="B106">
            <v>235.59</v>
          </cell>
          <cell r="C106">
            <v>11.82</v>
          </cell>
          <cell r="D106">
            <v>227.16</v>
          </cell>
          <cell r="E106">
            <v>1.1097471865151323E-2</v>
          </cell>
          <cell r="F106">
            <v>6.7911975780017555E-3</v>
          </cell>
          <cell r="G106">
            <v>-2.6378279605502935E-3</v>
          </cell>
          <cell r="H106">
            <v>187.93697099094427</v>
          </cell>
          <cell r="I106">
            <v>9.4897143456145781</v>
          </cell>
          <cell r="J106">
            <v>161.16029710103544</v>
          </cell>
        </row>
        <row r="107">
          <cell r="B107">
            <v>238.72</v>
          </cell>
          <cell r="C107">
            <v>11.84</v>
          </cell>
          <cell r="D107">
            <v>229.31</v>
          </cell>
          <cell r="E107">
            <v>1.3198310960503145E-2</v>
          </cell>
          <cell r="F107">
            <v>1.6906174779074521E-3</v>
          </cell>
          <cell r="G107">
            <v>9.4201848936647913E-3</v>
          </cell>
          <cell r="H107">
            <v>195.78377344806515</v>
          </cell>
          <cell r="I107">
            <v>9.9831670491902642</v>
          </cell>
          <cell r="J107">
            <v>156.11789900206651</v>
          </cell>
        </row>
        <row r="108">
          <cell r="B108">
            <v>239.29</v>
          </cell>
          <cell r="C108">
            <v>11.91</v>
          </cell>
          <cell r="D108">
            <v>230.49</v>
          </cell>
          <cell r="E108">
            <v>2.3848884758284079E-3</v>
          </cell>
          <cell r="F108">
            <v>5.8947539113492322E-3</v>
          </cell>
          <cell r="G108">
            <v>5.1326776447566114E-3</v>
          </cell>
          <cell r="H108">
            <v>196.1965068765858</v>
          </cell>
          <cell r="I108">
            <v>9.8363780644834069</v>
          </cell>
          <cell r="J108">
            <v>153.03790466071374</v>
          </cell>
        </row>
        <row r="109">
          <cell r="B109">
            <v>238.27</v>
          </cell>
          <cell r="C109">
            <v>11.71</v>
          </cell>
          <cell r="D109">
            <v>232.56</v>
          </cell>
          <cell r="E109">
            <v>-4.2717210446669646E-3</v>
          </cell>
          <cell r="F109">
            <v>-1.6935205757582696E-2</v>
          </cell>
          <cell r="G109">
            <v>8.9407787029671757E-3</v>
          </cell>
          <cell r="H109">
            <v>192.34936433564869</v>
          </cell>
          <cell r="I109">
            <v>9.9083395422395899</v>
          </cell>
          <cell r="J109">
            <v>154.51580074205231</v>
          </cell>
        </row>
        <row r="110">
          <cell r="B110">
            <v>230.87</v>
          </cell>
          <cell r="C110">
            <v>11.77</v>
          </cell>
          <cell r="D110">
            <v>232.14</v>
          </cell>
          <cell r="E110">
            <v>-3.154970290232461E-2</v>
          </cell>
          <cell r="F110">
            <v>5.1107436625593312E-3</v>
          </cell>
          <cell r="G110">
            <v>-1.8076183101439452E-3</v>
          </cell>
          <cell r="H110">
            <v>190.79694564610713</v>
          </cell>
          <cell r="I110">
            <v>9.954983376735985</v>
          </cell>
          <cell r="J110">
            <v>154.11359967652609</v>
          </cell>
        </row>
        <row r="111">
          <cell r="B111">
            <v>228.39</v>
          </cell>
          <cell r="C111">
            <v>11.72</v>
          </cell>
          <cell r="D111">
            <v>229.72</v>
          </cell>
          <cell r="E111">
            <v>-1.0800087558002096E-2</v>
          </cell>
          <cell r="F111">
            <v>-4.2571371233187218E-3</v>
          </cell>
          <cell r="G111">
            <v>-1.0479461944380755E-2</v>
          </cell>
          <cell r="H111">
            <v>191.34949298340149</v>
          </cell>
          <cell r="I111">
            <v>9.9037927568800885</v>
          </cell>
          <cell r="J111">
            <v>155.72643727324311</v>
          </cell>
        </row>
        <row r="112">
          <cell r="B112">
            <v>231.39</v>
          </cell>
          <cell r="C112">
            <v>11.62</v>
          </cell>
          <cell r="D112">
            <v>238.47</v>
          </cell>
          <cell r="E112">
            <v>1.3049904627786473E-2</v>
          </cell>
          <cell r="F112">
            <v>-8.5690327251015143E-3</v>
          </cell>
          <cell r="G112">
            <v>3.738234025703522E-2</v>
          </cell>
          <cell r="H112">
            <v>189.57061102042599</v>
          </cell>
          <cell r="I112">
            <v>9.7464857047999001</v>
          </cell>
          <cell r="J112">
            <v>157.13488737375943</v>
          </cell>
        </row>
        <row r="113">
          <cell r="B113">
            <v>235.21</v>
          </cell>
          <cell r="C113">
            <v>11.68</v>
          </cell>
          <cell r="D113">
            <v>239.78</v>
          </cell>
          <cell r="E113">
            <v>1.6374133513434877E-2</v>
          </cell>
          <cell r="F113">
            <v>5.1502259763158611E-3</v>
          </cell>
          <cell r="G113">
            <v>5.4783200263767082E-3</v>
          </cell>
          <cell r="H113">
            <v>194.65231971455938</v>
          </cell>
          <cell r="I113">
            <v>9.556158050020974</v>
          </cell>
          <cell r="J113">
            <v>159.31893374783184</v>
          </cell>
        </row>
        <row r="114">
          <cell r="B114">
            <v>243.41</v>
          </cell>
          <cell r="C114">
            <v>11.74</v>
          </cell>
          <cell r="D114">
            <v>239.69</v>
          </cell>
          <cell r="E114">
            <v>3.4268532216370808E-2</v>
          </cell>
          <cell r="F114">
            <v>5.1238369998694664E-3</v>
          </cell>
          <cell r="G114">
            <v>-3.7541452460853166E-4</v>
          </cell>
          <cell r="H114">
            <v>197.37548294657614</v>
          </cell>
          <cell r="I114">
            <v>9.4603377233708112</v>
          </cell>
          <cell r="J114">
            <v>156.18237857171607</v>
          </cell>
        </row>
        <row r="115">
          <cell r="B115">
            <v>247.19</v>
          </cell>
          <cell r="C115">
            <v>11.69</v>
          </cell>
          <cell r="D115">
            <v>237.88</v>
          </cell>
          <cell r="E115">
            <v>1.5410007347031351E-2</v>
          </cell>
          <cell r="F115">
            <v>-4.2680389159734048E-3</v>
          </cell>
          <cell r="G115">
            <v>-7.5800769165061304E-3</v>
          </cell>
          <cell r="H115">
            <v>197.24682313303887</v>
          </cell>
          <cell r="I115">
            <v>9.6344555965523924</v>
          </cell>
          <cell r="J115">
            <v>150.85402169918146</v>
          </cell>
        </row>
        <row r="116">
          <cell r="B116">
            <v>250.92</v>
          </cell>
          <cell r="C116">
            <v>11.49</v>
          </cell>
          <cell r="D116">
            <v>234.35</v>
          </cell>
          <cell r="E116">
            <v>1.4976891537688091E-2</v>
          </cell>
          <cell r="F116">
            <v>-1.7256683623312674E-2</v>
          </cell>
          <cell r="G116">
            <v>-1.4950620469677826E-2</v>
          </cell>
          <cell r="H116">
            <v>198.52381443247</v>
          </cell>
          <cell r="I116">
            <v>9.4769575001875257</v>
          </cell>
          <cell r="J116">
            <v>146.78018901969483</v>
          </cell>
        </row>
        <row r="117">
          <cell r="B117">
            <v>260.44</v>
          </cell>
          <cell r="C117">
            <v>11.42</v>
          </cell>
          <cell r="D117">
            <v>226.79</v>
          </cell>
          <cell r="E117">
            <v>3.7238345140118791E-2</v>
          </cell>
          <cell r="F117">
            <v>-6.1108876328001488E-3</v>
          </cell>
          <cell r="G117">
            <v>-3.2791245197944616E-2</v>
          </cell>
          <cell r="H117">
            <v>190.93122900565876</v>
          </cell>
          <cell r="I117">
            <v>9.3524047139908877</v>
          </cell>
          <cell r="J117">
            <v>144.29264698188373</v>
          </cell>
        </row>
        <row r="118">
          <cell r="B118">
            <v>258.91000000000003</v>
          </cell>
          <cell r="C118">
            <v>11.76</v>
          </cell>
          <cell r="D118">
            <v>230.03</v>
          </cell>
          <cell r="E118">
            <v>-5.8919974053747437E-3</v>
          </cell>
          <cell r="F118">
            <v>2.9337738242616682E-2</v>
          </cell>
          <cell r="G118">
            <v>1.4185256029157005E-2</v>
          </cell>
          <cell r="H118">
            <v>185.59345939792169</v>
          </cell>
          <cell r="I118">
            <v>9.4506992852544176</v>
          </cell>
          <cell r="J118">
            <v>143.07537900929191</v>
          </cell>
        </row>
        <row r="119">
          <cell r="B119">
            <v>259.33</v>
          </cell>
          <cell r="C119">
            <v>11.68</v>
          </cell>
          <cell r="D119">
            <v>234.07</v>
          </cell>
          <cell r="E119">
            <v>1.6208709939516638E-3</v>
          </cell>
          <cell r="F119">
            <v>-6.8259650703998706E-3</v>
          </cell>
          <cell r="G119">
            <v>1.7410480721885509E-2</v>
          </cell>
          <cell r="H119">
            <v>191.2261743243113</v>
          </cell>
          <cell r="I119">
            <v>9.3928015072703168</v>
          </cell>
          <cell r="J119">
            <v>144.54798606632983</v>
          </cell>
        </row>
        <row r="120">
          <cell r="B120">
            <v>261.38</v>
          </cell>
          <cell r="C120">
            <v>11.68</v>
          </cell>
          <cell r="D120">
            <v>236.7</v>
          </cell>
          <cell r="E120">
            <v>7.8739052116516776E-3</v>
          </cell>
          <cell r="F120">
            <v>0</v>
          </cell>
          <cell r="G120">
            <v>1.1173300598125255E-2</v>
          </cell>
          <cell r="H120">
            <v>194.1829257728061</v>
          </cell>
          <cell r="I120">
            <v>9.4696487686555564</v>
          </cell>
          <cell r="J120">
            <v>152.96321302165202</v>
          </cell>
        </row>
        <row r="121">
          <cell r="B121">
            <v>262.06</v>
          </cell>
          <cell r="C121">
            <v>11.61</v>
          </cell>
          <cell r="D121">
            <v>238.15</v>
          </cell>
          <cell r="E121">
            <v>2.5981980075493317E-3</v>
          </cell>
          <cell r="F121">
            <v>-6.011181690280921E-3</v>
          </cell>
          <cell r="G121">
            <v>6.1072107269313034E-3</v>
          </cell>
          <cell r="H121">
            <v>191.83659007852884</v>
          </cell>
          <cell r="I121">
            <v>9.522855145581719</v>
          </cell>
          <cell r="J121">
            <v>158.49426322677598</v>
          </cell>
        </row>
        <row r="122">
          <cell r="B122">
            <v>262.79000000000002</v>
          </cell>
          <cell r="C122">
            <v>11.66</v>
          </cell>
          <cell r="D122">
            <v>238.99</v>
          </cell>
          <cell r="E122">
            <v>2.781748959649534E-3</v>
          </cell>
          <cell r="F122">
            <v>4.2973852125461733E-3</v>
          </cell>
          <cell r="G122">
            <v>3.5209828050978467E-3</v>
          </cell>
          <cell r="H122">
            <v>198.99025740004339</v>
          </cell>
          <cell r="I122">
            <v>9.4950173767925907</v>
          </cell>
          <cell r="J122">
            <v>162.60130879186497</v>
          </cell>
        </row>
        <row r="123">
          <cell r="B123">
            <v>268.64</v>
          </cell>
          <cell r="C123">
            <v>11.74</v>
          </cell>
          <cell r="D123">
            <v>237.88</v>
          </cell>
          <cell r="E123">
            <v>2.2016959193141849E-2</v>
          </cell>
          <cell r="F123">
            <v>6.8376334776039686E-3</v>
          </cell>
          <cell r="G123">
            <v>-4.6553652135744661E-3</v>
          </cell>
          <cell r="H123">
            <v>198.8792491776797</v>
          </cell>
          <cell r="I123">
            <v>9.8033896229004984</v>
          </cell>
          <cell r="J123">
            <v>164.43802447170759</v>
          </cell>
        </row>
        <row r="124">
          <cell r="B124">
            <v>264.87</v>
          </cell>
          <cell r="C124">
            <v>11.62</v>
          </cell>
          <cell r="D124">
            <v>245.5</v>
          </cell>
          <cell r="E124">
            <v>-1.4133053747629883E-2</v>
          </cell>
          <cell r="F124">
            <v>-1.027406297618534E-2</v>
          </cell>
          <cell r="G124">
            <v>3.1530602396182335E-2</v>
          </cell>
          <cell r="H124">
            <v>196.74866530082267</v>
          </cell>
          <cell r="I124">
            <v>9.8559326812069443</v>
          </cell>
          <cell r="J124">
            <v>165.21320628307237</v>
          </cell>
        </row>
        <row r="125">
          <cell r="B125">
            <v>272.63</v>
          </cell>
          <cell r="C125">
            <v>11.66</v>
          </cell>
          <cell r="D125">
            <v>256.08</v>
          </cell>
          <cell r="E125">
            <v>2.8876424982925194E-2</v>
          </cell>
          <cell r="F125">
            <v>3.4364294985813186E-3</v>
          </cell>
          <cell r="G125">
            <v>4.2192948427032299E-2</v>
          </cell>
          <cell r="H125">
            <v>199.38174021249284</v>
          </cell>
          <cell r="I125">
            <v>9.8020592729582052</v>
          </cell>
          <cell r="J125">
            <v>166.47790429955757</v>
          </cell>
        </row>
        <row r="126">
          <cell r="B126">
            <v>282.70999999999998</v>
          </cell>
          <cell r="C126">
            <v>11.73</v>
          </cell>
          <cell r="D126">
            <v>254.43</v>
          </cell>
          <cell r="E126">
            <v>3.6306072696526484E-2</v>
          </cell>
          <cell r="F126">
            <v>5.9854817430378239E-3</v>
          </cell>
          <cell r="G126">
            <v>-6.4641466198891257E-3</v>
          </cell>
          <cell r="H126">
            <v>199.45473958918444</v>
          </cell>
          <cell r="I126">
            <v>9.6490592308707388</v>
          </cell>
          <cell r="J126">
            <v>160.44259906608215</v>
          </cell>
        </row>
        <row r="127">
          <cell r="B127">
            <v>280.70999999999998</v>
          </cell>
          <cell r="C127">
            <v>11.63</v>
          </cell>
          <cell r="D127">
            <v>252.31</v>
          </cell>
          <cell r="E127">
            <v>-7.0995293051211369E-3</v>
          </cell>
          <cell r="F127">
            <v>-8.5616961348110362E-3</v>
          </cell>
          <cell r="G127">
            <v>-8.367258825429779E-3</v>
          </cell>
          <cell r="H127">
            <v>200.9706349569112</v>
          </cell>
          <cell r="I127">
            <v>9.5822005275809179</v>
          </cell>
          <cell r="J127">
            <v>165.61775885727872</v>
          </cell>
        </row>
        <row r="128">
          <cell r="B128">
            <v>276.66000000000003</v>
          </cell>
          <cell r="C128">
            <v>11.62</v>
          </cell>
          <cell r="D128">
            <v>256.87</v>
          </cell>
          <cell r="E128">
            <v>-1.4532792509261885E-2</v>
          </cell>
          <cell r="F128">
            <v>-8.6021510680799214E-4</v>
          </cell>
          <cell r="G128">
            <v>1.7911630124575698E-2</v>
          </cell>
          <cell r="H128">
            <v>199.19337549574368</v>
          </cell>
          <cell r="I128">
            <v>9.6775697228817741</v>
          </cell>
          <cell r="J128">
            <v>166.94141630930878</v>
          </cell>
        </row>
        <row r="129">
          <cell r="B129">
            <v>273.36</v>
          </cell>
          <cell r="C129">
            <v>12.01</v>
          </cell>
          <cell r="D129">
            <v>255.46</v>
          </cell>
          <cell r="E129">
            <v>-1.1999707639632807E-2</v>
          </cell>
          <cell r="F129">
            <v>3.3011884668127101E-2</v>
          </cell>
          <cell r="G129">
            <v>-5.5042787262334567E-3</v>
          </cell>
          <cell r="H129">
            <v>196.85246529031156</v>
          </cell>
          <cell r="I129">
            <v>9.6609839970697848</v>
          </cell>
          <cell r="J129">
            <v>167.43896150066601</v>
          </cell>
        </row>
        <row r="130">
          <cell r="B130">
            <v>273.23</v>
          </cell>
          <cell r="C130">
            <v>12.09</v>
          </cell>
          <cell r="D130">
            <v>254.43</v>
          </cell>
          <cell r="E130">
            <v>-4.7567647579078916E-4</v>
          </cell>
          <cell r="F130">
            <v>6.639028534809085E-3</v>
          </cell>
          <cell r="G130">
            <v>-4.040092572912473E-3</v>
          </cell>
          <cell r="H130">
            <v>186.72659248079344</v>
          </cell>
          <cell r="I130">
            <v>9.5860876756753317</v>
          </cell>
          <cell r="J130">
            <v>169.37943279795721</v>
          </cell>
        </row>
        <row r="131">
          <cell r="B131">
            <v>279.29000000000002</v>
          </cell>
          <cell r="C131">
            <v>11.96</v>
          </cell>
          <cell r="D131">
            <v>254.63</v>
          </cell>
          <cell r="E131">
            <v>2.1936737183712082E-2</v>
          </cell>
          <cell r="F131">
            <v>-1.0810916104215506E-2</v>
          </cell>
          <cell r="G131">
            <v>7.8576203312136412E-4</v>
          </cell>
          <cell r="H131">
            <v>186.10273520103681</v>
          </cell>
          <cell r="I131">
            <v>9.6530601860321319</v>
          </cell>
          <cell r="J131">
            <v>166.39535164764482</v>
          </cell>
        </row>
        <row r="132">
          <cell r="B132">
            <v>288.47000000000003</v>
          </cell>
          <cell r="C132">
            <v>12.27</v>
          </cell>
          <cell r="D132">
            <v>255.45</v>
          </cell>
          <cell r="E132">
            <v>3.2340425891081728E-2</v>
          </cell>
          <cell r="F132">
            <v>2.5589510200334321E-2</v>
          </cell>
          <cell r="G132">
            <v>3.2151847019672259E-3</v>
          </cell>
          <cell r="H132">
            <v>189.07339703061999</v>
          </cell>
          <cell r="I132">
            <v>9.7859098415206933</v>
          </cell>
          <cell r="J132">
            <v>172.535286613777</v>
          </cell>
        </row>
        <row r="133">
          <cell r="B133">
            <v>288.11</v>
          </cell>
          <cell r="C133">
            <v>12.22</v>
          </cell>
          <cell r="D133">
            <v>257.13</v>
          </cell>
          <cell r="E133">
            <v>-1.2487427478607357E-3</v>
          </cell>
          <cell r="F133">
            <v>-4.0833049793707679E-3</v>
          </cell>
          <cell r="G133">
            <v>6.555097802094065E-3</v>
          </cell>
          <cell r="H133">
            <v>187.07258245727201</v>
          </cell>
          <cell r="I133">
            <v>9.9264042877749326</v>
          </cell>
          <cell r="J133">
            <v>165.39456335771325</v>
          </cell>
        </row>
        <row r="134">
          <cell r="B134">
            <v>292.19</v>
          </cell>
          <cell r="C134">
            <v>12.67</v>
          </cell>
          <cell r="D134">
            <v>258.02</v>
          </cell>
          <cell r="E134">
            <v>1.4061923937956435E-2</v>
          </cell>
          <cell r="F134">
            <v>3.6163040589598426E-2</v>
          </cell>
          <cell r="G134">
            <v>3.4553077180894433E-3</v>
          </cell>
          <cell r="H134">
            <v>179.1992450883109</v>
          </cell>
          <cell r="I134">
            <v>9.8326016494381232</v>
          </cell>
          <cell r="J134">
            <v>166.16510507434083</v>
          </cell>
        </row>
        <row r="135">
          <cell r="B135">
            <v>302.39999999999998</v>
          </cell>
          <cell r="C135">
            <v>12.7</v>
          </cell>
          <cell r="D135">
            <v>256.69</v>
          </cell>
          <cell r="E135">
            <v>3.4346368709242688E-2</v>
          </cell>
          <cell r="F135">
            <v>2.3649991314978833E-3</v>
          </cell>
          <cell r="G135">
            <v>-5.1679701584425612E-3</v>
          </cell>
          <cell r="H135">
            <v>180.12977329080033</v>
          </cell>
          <cell r="I135">
            <v>9.9601378124304905</v>
          </cell>
          <cell r="J135">
            <v>167.10995387309163</v>
          </cell>
        </row>
        <row r="136">
          <cell r="B136">
            <v>294.02999999999997</v>
          </cell>
          <cell r="C136">
            <v>11.92</v>
          </cell>
          <cell r="D136">
            <v>256.48</v>
          </cell>
          <cell r="E136">
            <v>-2.806884135617977E-2</v>
          </cell>
          <cell r="F136">
            <v>-6.3384331827341836E-2</v>
          </cell>
          <cell r="G136">
            <v>-8.1844227730499413E-4</v>
          </cell>
          <cell r="H136">
            <v>177.6452936133237</v>
          </cell>
          <cell r="I136">
            <v>9.7246325420647679</v>
          </cell>
          <cell r="J136">
            <v>165.48864290017838</v>
          </cell>
        </row>
        <row r="137">
          <cell r="B137">
            <v>304.52</v>
          </cell>
          <cell r="C137">
            <v>11.74</v>
          </cell>
          <cell r="D137">
            <v>258.06</v>
          </cell>
          <cell r="E137">
            <v>3.5054963488813658E-2</v>
          </cell>
          <cell r="F137">
            <v>-1.5215847237253317E-2</v>
          </cell>
          <cell r="G137">
            <v>6.1414271624570778E-3</v>
          </cell>
          <cell r="H137">
            <v>177.69501145842636</v>
          </cell>
          <cell r="I137">
            <v>9.691161921954885</v>
          </cell>
          <cell r="J137">
            <v>170.43906328810226</v>
          </cell>
        </row>
        <row r="138">
          <cell r="B138">
            <v>299.88</v>
          </cell>
          <cell r="C138">
            <v>11.5</v>
          </cell>
          <cell r="D138">
            <v>254.04</v>
          </cell>
          <cell r="E138">
            <v>-1.5354371803150503E-2</v>
          </cell>
          <cell r="F138">
            <v>-2.0654779030746025E-2</v>
          </cell>
          <cell r="G138">
            <v>-1.5700381088925939E-2</v>
          </cell>
          <cell r="H138">
            <v>174.79663752253268</v>
          </cell>
          <cell r="I138">
            <v>9.6263296741924442</v>
          </cell>
          <cell r="J138">
            <v>169.36194248412085</v>
          </cell>
        </row>
        <row r="139">
          <cell r="B139">
            <v>280.66000000000003</v>
          </cell>
          <cell r="C139">
            <v>11.41</v>
          </cell>
          <cell r="D139">
            <v>245.27</v>
          </cell>
          <cell r="E139">
            <v>-6.6238422311871561E-2</v>
          </cell>
          <cell r="F139">
            <v>-7.8568714952201319E-3</v>
          </cell>
          <cell r="G139">
            <v>-3.5132090374928697E-2</v>
          </cell>
          <cell r="H139">
            <v>175.6340625291655</v>
          </cell>
          <cell r="I139">
            <v>9.6341914879612904</v>
          </cell>
          <cell r="J139">
            <v>166.32400777200812</v>
          </cell>
        </row>
        <row r="140">
          <cell r="B140">
            <v>302.89</v>
          </cell>
          <cell r="C140">
            <v>11.54</v>
          </cell>
          <cell r="D140">
            <v>247.66</v>
          </cell>
          <cell r="E140">
            <v>7.6225730969116945E-2</v>
          </cell>
          <cell r="F140">
            <v>1.1329097205969229E-2</v>
          </cell>
          <cell r="G140">
            <v>9.6971932271071818E-3</v>
          </cell>
          <cell r="H140">
            <v>175.28045033682196</v>
          </cell>
          <cell r="I140">
            <v>9.3527328202066613</v>
          </cell>
          <cell r="J140">
            <v>163.28410796728889</v>
          </cell>
        </row>
        <row r="141">
          <cell r="B141">
            <v>295.94</v>
          </cell>
          <cell r="C141">
            <v>11.65</v>
          </cell>
          <cell r="D141">
            <v>247.77</v>
          </cell>
          <cell r="E141">
            <v>-2.3212972217718491E-2</v>
          </cell>
          <cell r="F141">
            <v>9.4869189317562091E-3</v>
          </cell>
          <cell r="G141">
            <v>4.440587037828413E-4</v>
          </cell>
          <cell r="H141">
            <v>178.80274265582264</v>
          </cell>
          <cell r="I141">
            <v>9.4248328878586065</v>
          </cell>
          <cell r="J141">
            <v>163.76312855749541</v>
          </cell>
        </row>
        <row r="142">
          <cell r="B142">
            <v>304.70999999999998</v>
          </cell>
          <cell r="C142">
            <v>11.76</v>
          </cell>
          <cell r="D142">
            <v>249.34</v>
          </cell>
          <cell r="E142">
            <v>2.9203773545131248E-2</v>
          </cell>
          <cell r="F142">
            <v>9.3977624587713027E-3</v>
          </cell>
          <cell r="G142">
            <v>6.3165304260936386E-3</v>
          </cell>
          <cell r="H142">
            <v>174.50477153860271</v>
          </cell>
          <cell r="I142">
            <v>9.6201274040633766</v>
          </cell>
          <cell r="J142">
            <v>162.67870521219393</v>
          </cell>
        </row>
        <row r="143">
          <cell r="B143">
            <v>299.83999999999997</v>
          </cell>
          <cell r="C143">
            <v>11.74</v>
          </cell>
          <cell r="D143">
            <v>247.45</v>
          </cell>
          <cell r="E143">
            <v>-1.6111505569462104E-2</v>
          </cell>
          <cell r="F143">
            <v>-1.7021280705304183E-3</v>
          </cell>
          <cell r="G143">
            <v>-7.6088855189339194E-3</v>
          </cell>
          <cell r="H143">
            <v>180.38546874804146</v>
          </cell>
          <cell r="I143">
            <v>9.5226352278492268</v>
          </cell>
          <cell r="J143">
            <v>160.58304560556371</v>
          </cell>
        </row>
        <row r="144">
          <cell r="B144">
            <v>295.08</v>
          </cell>
          <cell r="C144">
            <v>11.92</v>
          </cell>
          <cell r="D144">
            <v>252.29</v>
          </cell>
          <cell r="E144">
            <v>-1.6002493033955789E-2</v>
          </cell>
          <cell r="F144">
            <v>1.5215847237253215E-2</v>
          </cell>
          <cell r="G144">
            <v>1.9370678108879068E-2</v>
          </cell>
          <cell r="H144">
            <v>174.71272009242509</v>
          </cell>
          <cell r="I144">
            <v>9.5857881313369386</v>
          </cell>
          <cell r="J144">
            <v>156.8023720325584</v>
          </cell>
        </row>
        <row r="145">
          <cell r="B145">
            <v>297.7</v>
          </cell>
          <cell r="C145">
            <v>11.99</v>
          </cell>
          <cell r="D145">
            <v>262.24</v>
          </cell>
          <cell r="E145">
            <v>8.8397620056291509E-3</v>
          </cell>
          <cell r="F145">
            <v>5.8553074022191526E-3</v>
          </cell>
          <cell r="G145">
            <v>3.8680895488745502E-2</v>
          </cell>
          <cell r="H145">
            <v>177.29429954628748</v>
          </cell>
          <cell r="I145">
            <v>9.3411973592382651</v>
          </cell>
          <cell r="J145">
            <v>161.381395703077</v>
          </cell>
        </row>
        <row r="146">
          <cell r="B146">
            <v>294.51</v>
          </cell>
          <cell r="C146">
            <v>12.56</v>
          </cell>
          <cell r="D146">
            <v>262.77</v>
          </cell>
          <cell r="E146">
            <v>-1.077330964919102E-2</v>
          </cell>
          <cell r="F146">
            <v>4.6444192000629853E-2</v>
          </cell>
          <cell r="G146">
            <v>2.0190098475877521E-3</v>
          </cell>
          <cell r="H146">
            <v>171.84146524270156</v>
          </cell>
          <cell r="I146">
            <v>9.4381499179061397</v>
          </cell>
          <cell r="J146">
            <v>159.24948900895055</v>
          </cell>
        </row>
        <row r="147">
          <cell r="B147">
            <v>288.88</v>
          </cell>
          <cell r="C147">
            <v>12.43</v>
          </cell>
          <cell r="D147">
            <v>258.45</v>
          </cell>
          <cell r="E147">
            <v>-1.9301581403337362E-2</v>
          </cell>
          <cell r="F147">
            <v>-1.0404255517432898E-2</v>
          </cell>
          <cell r="G147">
            <v>-1.6576873201058953E-2</v>
          </cell>
          <cell r="H147">
            <v>173.53454217326686</v>
          </cell>
          <cell r="I147">
            <v>9.3035974296621333</v>
          </cell>
          <cell r="J147">
            <v>160.70340879175635</v>
          </cell>
        </row>
        <row r="148">
          <cell r="B148">
            <v>290.73</v>
          </cell>
          <cell r="C148">
            <v>12.34</v>
          </cell>
          <cell r="D148">
            <v>259.58</v>
          </cell>
          <cell r="E148">
            <v>6.3836244453660531E-3</v>
          </cell>
          <cell r="F148">
            <v>-7.2668870453780005E-3</v>
          </cell>
          <cell r="G148">
            <v>4.3626886175645412E-3</v>
          </cell>
          <cell r="H148">
            <v>170.25547995437304</v>
          </cell>
          <cell r="I148">
            <v>9.2600076031844125</v>
          </cell>
          <cell r="J148">
            <v>162.7770837299567</v>
          </cell>
        </row>
        <row r="149">
          <cell r="B149">
            <v>294.95999999999998</v>
          </cell>
          <cell r="C149">
            <v>13.84</v>
          </cell>
          <cell r="D149">
            <v>262.82</v>
          </cell>
          <cell r="E149">
            <v>1.444475251132055E-2</v>
          </cell>
          <cell r="F149">
            <v>0.1147169317122818</v>
          </cell>
          <cell r="G149">
            <v>1.2404446955879033E-2</v>
          </cell>
          <cell r="H149">
            <v>172.85775410343797</v>
          </cell>
          <cell r="I149">
            <v>9.2566112134837137</v>
          </cell>
          <cell r="J149">
            <v>163.87616829663429</v>
          </cell>
        </row>
        <row r="150">
          <cell r="B150">
            <v>298.25</v>
          </cell>
          <cell r="C150">
            <v>13.26</v>
          </cell>
          <cell r="D150">
            <v>268.81</v>
          </cell>
          <cell r="E150">
            <v>1.1092307052136508E-2</v>
          </cell>
          <cell r="F150">
            <v>-4.2810965431807048E-2</v>
          </cell>
          <cell r="G150">
            <v>2.2535423122463517E-2</v>
          </cell>
          <cell r="H150">
            <v>175.23207526600928</v>
          </cell>
          <cell r="I150">
            <v>8.7654032343695114</v>
          </cell>
          <cell r="J150">
            <v>165.75508372815011</v>
          </cell>
        </row>
        <row r="151">
          <cell r="B151">
            <v>301.52999999999997</v>
          </cell>
          <cell r="C151">
            <v>13.13</v>
          </cell>
          <cell r="D151">
            <v>269</v>
          </cell>
          <cell r="E151">
            <v>1.0937452726732501E-2</v>
          </cell>
          <cell r="F151">
            <v>-9.8522964430115944E-3</v>
          </cell>
          <cell r="G151">
            <v>7.0656926388370416E-4</v>
          </cell>
          <cell r="H151">
            <v>177.95310903218856</v>
          </cell>
          <cell r="I151">
            <v>8.8229864288633273</v>
          </cell>
          <cell r="J151">
            <v>163.80939853377441</v>
          </cell>
        </row>
        <row r="152">
          <cell r="B152">
            <v>305.08999999999997</v>
          </cell>
          <cell r="C152">
            <v>13.24</v>
          </cell>
          <cell r="D152">
            <v>269.7</v>
          </cell>
          <cell r="E152">
            <v>1.1737301341745681E-2</v>
          </cell>
          <cell r="F152">
            <v>8.3428621941571881E-3</v>
          </cell>
          <cell r="G152">
            <v>2.5988505438451492E-3</v>
          </cell>
          <cell r="H152">
            <v>175.10412560075716</v>
          </cell>
          <cell r="I152">
            <v>9.012075082191954</v>
          </cell>
          <cell r="J152">
            <v>165.25004591505513</v>
          </cell>
        </row>
        <row r="153">
          <cell r="B153">
            <v>303.22000000000003</v>
          </cell>
          <cell r="C153">
            <v>13.06</v>
          </cell>
          <cell r="D153">
            <v>271.39999999999998</v>
          </cell>
          <cell r="E153">
            <v>-6.1482003930679388E-3</v>
          </cell>
          <cell r="F153">
            <v>-1.368842666057709E-2</v>
          </cell>
          <cell r="G153">
            <v>6.2835172550845036E-3</v>
          </cell>
          <cell r="H153">
            <v>180.30201927185433</v>
          </cell>
          <cell r="I153">
            <v>9.0705726224805847</v>
          </cell>
          <cell r="J153">
            <v>171.84763660929428</v>
          </cell>
        </row>
        <row r="154">
          <cell r="B154">
            <v>300.43</v>
          </cell>
          <cell r="C154">
            <v>13.13</v>
          </cell>
          <cell r="D154">
            <v>270.37</v>
          </cell>
          <cell r="E154">
            <v>-9.2438329056095843E-3</v>
          </cell>
          <cell r="F154">
            <v>5.3455644664198981E-3</v>
          </cell>
          <cell r="G154">
            <v>-3.8023561325672382E-3</v>
          </cell>
          <cell r="H154">
            <v>176.72233426765357</v>
          </cell>
          <cell r="I154">
            <v>9.1871929659882774</v>
          </cell>
          <cell r="J154">
            <v>173.95497412252365</v>
          </cell>
        </row>
        <row r="155">
          <cell r="B155">
            <v>304.86</v>
          </cell>
          <cell r="C155">
            <v>13.01</v>
          </cell>
          <cell r="D155">
            <v>269.05</v>
          </cell>
          <cell r="E155">
            <v>1.463787308586949E-2</v>
          </cell>
          <cell r="F155">
            <v>-9.1813957902909544E-3</v>
          </cell>
          <cell r="G155">
            <v>-4.8941553327728152E-3</v>
          </cell>
          <cell r="H155">
            <v>182.81580571091641</v>
          </cell>
          <cell r="I155">
            <v>9.2365497115151847</v>
          </cell>
          <cell r="J155">
            <v>177.86101861946344</v>
          </cell>
        </row>
        <row r="156">
          <cell r="B156">
            <v>294.05</v>
          </cell>
          <cell r="C156">
            <v>12.79</v>
          </cell>
          <cell r="D156">
            <v>270.04000000000002</v>
          </cell>
          <cell r="E156">
            <v>-3.6102833927730518E-2</v>
          </cell>
          <cell r="F156">
            <v>-1.7054676933662635E-2</v>
          </cell>
          <cell r="G156">
            <v>3.6728602382412124E-3</v>
          </cell>
          <cell r="H156">
            <v>184.24816740759357</v>
          </cell>
          <cell r="I156">
            <v>9.225306346856657</v>
          </cell>
          <cell r="J156">
            <v>178.49081952535261</v>
          </cell>
        </row>
        <row r="157">
          <cell r="B157">
            <v>293.64</v>
          </cell>
          <cell r="C157">
            <v>13.11</v>
          </cell>
          <cell r="D157">
            <v>270.14</v>
          </cell>
          <cell r="E157">
            <v>-1.395293663384476E-3</v>
          </cell>
          <cell r="F157">
            <v>2.471168218485709E-2</v>
          </cell>
          <cell r="G157">
            <v>3.7024695894810876E-4</v>
          </cell>
          <cell r="H157">
            <v>184.17644230606288</v>
          </cell>
          <cell r="I157">
            <v>9.5986796510431738</v>
          </cell>
          <cell r="J157">
            <v>173.81505143812433</v>
          </cell>
        </row>
        <row r="158">
          <cell r="B158">
            <v>289.24</v>
          </cell>
          <cell r="C158">
            <v>13.12</v>
          </cell>
          <cell r="D158">
            <v>269.77</v>
          </cell>
          <cell r="E158">
            <v>-1.50977339358294E-2</v>
          </cell>
          <cell r="F158">
            <v>7.6248574033439538E-4</v>
          </cell>
          <cell r="G158">
            <v>-1.3705990180649203E-3</v>
          </cell>
          <cell r="H158">
            <v>187.61387390172538</v>
          </cell>
          <cell r="I158">
            <v>9.5941584921532908</v>
          </cell>
          <cell r="J158">
            <v>176.91152563914267</v>
          </cell>
        </row>
        <row r="159">
          <cell r="B159">
            <v>286.5</v>
          </cell>
          <cell r="C159">
            <v>13.21</v>
          </cell>
          <cell r="D159">
            <v>268.47000000000003</v>
          </cell>
          <cell r="E159">
            <v>-9.5182571519568972E-3</v>
          </cell>
          <cell r="F159">
            <v>6.836335018291167E-3</v>
          </cell>
          <cell r="G159">
            <v>-4.8305682516764535E-3</v>
          </cell>
          <cell r="H159">
            <v>188.23487776245497</v>
          </cell>
          <cell r="I159">
            <v>9.2902558883316946</v>
          </cell>
          <cell r="J159">
            <v>178.29074364729018</v>
          </cell>
        </row>
        <row r="160">
          <cell r="B160">
            <v>295.27</v>
          </cell>
          <cell r="C160">
            <v>13.16</v>
          </cell>
          <cell r="D160">
            <v>269.43</v>
          </cell>
          <cell r="E160">
            <v>3.0151655832545449E-2</v>
          </cell>
          <cell r="F160">
            <v>-3.792192637062917E-3</v>
          </cell>
          <cell r="G160">
            <v>3.5694404880914532E-3</v>
          </cell>
          <cell r="H160">
            <v>189.1066343669149</v>
          </cell>
          <cell r="I160">
            <v>9.4929604270008952</v>
          </cell>
          <cell r="J160">
            <v>177.03416096412769</v>
          </cell>
        </row>
        <row r="161">
          <cell r="B161">
            <v>291.17</v>
          </cell>
          <cell r="C161">
            <v>13.3</v>
          </cell>
          <cell r="D161">
            <v>275.25</v>
          </cell>
          <cell r="E161">
            <v>-1.3982902949959193E-2</v>
          </cell>
          <cell r="F161">
            <v>1.0582109330537008E-2</v>
          </cell>
          <cell r="G161">
            <v>2.1371159251821259E-2</v>
          </cell>
          <cell r="H161">
            <v>188.46493930019255</v>
          </cell>
          <cell r="I161">
            <v>9.5491787962975625</v>
          </cell>
          <cell r="J161">
            <v>172.96646632892518</v>
          </cell>
        </row>
        <row r="162">
          <cell r="B162">
            <v>290.62</v>
          </cell>
          <cell r="C162">
            <v>13.45</v>
          </cell>
          <cell r="D162">
            <v>273.47000000000003</v>
          </cell>
          <cell r="E162">
            <v>-1.8907171448307269E-3</v>
          </cell>
          <cell r="F162">
            <v>1.1215070820140003E-2</v>
          </cell>
          <cell r="G162">
            <v>-6.4878489709490634E-3</v>
          </cell>
          <cell r="H162">
            <v>193.33796306646175</v>
          </cell>
          <cell r="I162">
            <v>9.6773923608045642</v>
          </cell>
          <cell r="J162">
            <v>168.7476234175144</v>
          </cell>
        </row>
        <row r="163">
          <cell r="B163">
            <v>282.2</v>
          </cell>
          <cell r="C163">
            <v>13.28</v>
          </cell>
          <cell r="D163">
            <v>272.95</v>
          </cell>
          <cell r="E163">
            <v>-2.9400532473836283E-2</v>
          </cell>
          <cell r="F163">
            <v>-1.2719961999560294E-2</v>
          </cell>
          <cell r="G163">
            <v>-1.903298404073698E-3</v>
          </cell>
          <cell r="H163">
            <v>201.57025576792111</v>
          </cell>
          <cell r="I163">
            <v>9.9333699513256288</v>
          </cell>
          <cell r="J163">
            <v>168.4610952207853</v>
          </cell>
        </row>
        <row r="164">
          <cell r="B164">
            <v>284.82</v>
          </cell>
          <cell r="C164">
            <v>13.19</v>
          </cell>
          <cell r="D164">
            <v>272.41000000000003</v>
          </cell>
          <cell r="E164">
            <v>9.2413623725680991E-3</v>
          </cell>
          <cell r="F164">
            <v>-6.8001773190645353E-3</v>
          </cell>
          <cell r="G164">
            <v>-1.9803439067010314E-3</v>
          </cell>
          <cell r="H164">
            <v>199.3836614286362</v>
          </cell>
          <cell r="I164">
            <v>9.9533964446395462</v>
          </cell>
          <cell r="J164">
            <v>166.88772260803327</v>
          </cell>
        </row>
        <row r="165">
          <cell r="B165">
            <v>282.01</v>
          </cell>
          <cell r="C165">
            <v>12.88</v>
          </cell>
          <cell r="D165">
            <v>267.45999999999998</v>
          </cell>
          <cell r="E165">
            <v>-9.914870488986401E-3</v>
          </cell>
          <cell r="F165">
            <v>-2.3783246053015576E-2</v>
          </cell>
          <cell r="G165">
            <v>-1.8338261876415136E-2</v>
          </cell>
          <cell r="H165">
            <v>204.34291879729054</v>
          </cell>
          <cell r="I165">
            <v>10.140548932967762</v>
          </cell>
          <cell r="J165">
            <v>169.12485423033769</v>
          </cell>
        </row>
        <row r="166">
          <cell r="B166">
            <v>277.91000000000003</v>
          </cell>
          <cell r="C166">
            <v>13.02</v>
          </cell>
          <cell r="D166">
            <v>267.44</v>
          </cell>
          <cell r="E166">
            <v>-1.4645211034285103E-2</v>
          </cell>
          <cell r="F166">
            <v>1.0810916104215456E-2</v>
          </cell>
          <cell r="G166">
            <v>-7.4780332807222467E-5</v>
          </cell>
          <cell r="H166">
            <v>211.48297089157705</v>
          </cell>
          <cell r="I166">
            <v>9.9446108479296331</v>
          </cell>
          <cell r="J166">
            <v>169.07779456725362</v>
          </cell>
        </row>
        <row r="167">
          <cell r="B167">
            <v>282.37</v>
          </cell>
          <cell r="C167">
            <v>12.9</v>
          </cell>
          <cell r="D167">
            <v>268.56</v>
          </cell>
          <cell r="E167">
            <v>1.5920947413409554E-2</v>
          </cell>
          <cell r="F167">
            <v>-9.2593254127967123E-3</v>
          </cell>
          <cell r="G167">
            <v>4.1791105599363393E-3</v>
          </cell>
          <cell r="H167">
            <v>200.87448843120669</v>
          </cell>
          <cell r="I167">
            <v>9.6824841478015262</v>
          </cell>
          <cell r="J167">
            <v>168.62837834714747</v>
          </cell>
        </row>
        <row r="168">
          <cell r="B168">
            <v>277.5</v>
          </cell>
          <cell r="C168">
            <v>12.41</v>
          </cell>
          <cell r="D168">
            <v>266.25</v>
          </cell>
          <cell r="E168">
            <v>-1.7397334494930375E-2</v>
          </cell>
          <cell r="F168">
            <v>-3.872471215111057E-2</v>
          </cell>
          <cell r="G168">
            <v>-8.6386356481446304E-3</v>
          </cell>
          <cell r="H168">
            <v>203.39802723136836</v>
          </cell>
          <cell r="I168">
            <v>9.8872773172936395</v>
          </cell>
          <cell r="J168">
            <v>168.22338861060223</v>
          </cell>
        </row>
        <row r="169">
          <cell r="B169">
            <v>275.06</v>
          </cell>
          <cell r="C169">
            <v>12.83</v>
          </cell>
          <cell r="D169">
            <v>271.49</v>
          </cell>
          <cell r="E169">
            <v>-8.8316774999274671E-3</v>
          </cell>
          <cell r="F169">
            <v>3.3283579411029135E-2</v>
          </cell>
          <cell r="G169">
            <v>1.9489589259502289E-2</v>
          </cell>
          <cell r="H169">
            <v>201.01230477509091</v>
          </cell>
          <cell r="I169">
            <v>10.063342373017349</v>
          </cell>
          <cell r="J169">
            <v>168.05820530752132</v>
          </cell>
        </row>
        <row r="170">
          <cell r="B170">
            <v>284.64</v>
          </cell>
          <cell r="C170">
            <v>12.96</v>
          </cell>
          <cell r="D170">
            <v>275.92</v>
          </cell>
          <cell r="E170">
            <v>3.4235968230963219E-2</v>
          </cell>
          <cell r="F170">
            <v>1.008151229658359E-2</v>
          </cell>
          <cell r="G170">
            <v>1.6185662345448357E-2</v>
          </cell>
          <cell r="H170">
            <v>205.55175675199257</v>
          </cell>
          <cell r="I170">
            <v>10.363087996287891</v>
          </cell>
          <cell r="J170">
            <v>167.54247404229054</v>
          </cell>
        </row>
        <row r="171">
          <cell r="B171">
            <v>284.68</v>
          </cell>
          <cell r="C171">
            <v>13.17</v>
          </cell>
          <cell r="D171">
            <v>276.97000000000003</v>
          </cell>
          <cell r="E171">
            <v>1.4051851354539898E-4</v>
          </cell>
          <cell r="F171">
            <v>1.6073824831061054E-2</v>
          </cell>
          <cell r="G171">
            <v>3.7982284444352779E-3</v>
          </cell>
          <cell r="H171">
            <v>216.40978134171931</v>
          </cell>
          <cell r="I171">
            <v>10.079093721091004</v>
          </cell>
          <cell r="J171">
            <v>170.73789914612988</v>
          </cell>
        </row>
        <row r="172">
          <cell r="B172">
            <v>289.95999999999998</v>
          </cell>
          <cell r="C172">
            <v>13.19</v>
          </cell>
          <cell r="D172">
            <v>277.55</v>
          </cell>
          <cell r="E172">
            <v>1.8377240001606485E-2</v>
          </cell>
          <cell r="F172">
            <v>1.5174509740336296E-3</v>
          </cell>
          <cell r="G172">
            <v>2.0919000631496021E-3</v>
          </cell>
          <cell r="H172">
            <v>226.49706933890451</v>
          </cell>
          <cell r="I172">
            <v>9.9507739430750792</v>
          </cell>
          <cell r="J172">
            <v>173.90123306127839</v>
          </cell>
        </row>
        <row r="173">
          <cell r="B173">
            <v>291.51</v>
          </cell>
          <cell r="C173">
            <v>13.28</v>
          </cell>
          <cell r="D173">
            <v>278.85000000000002</v>
          </cell>
          <cell r="E173">
            <v>5.3313280867803986E-3</v>
          </cell>
          <cell r="F173">
            <v>6.8001773190646412E-3</v>
          </cell>
          <cell r="G173">
            <v>4.6729056993924231E-3</v>
          </cell>
          <cell r="H173">
            <v>229.43935794143002</v>
          </cell>
          <cell r="I173">
            <v>9.9860469446754223</v>
          </cell>
          <cell r="J173">
            <v>172.57454450337917</v>
          </cell>
        </row>
        <row r="174">
          <cell r="B174">
            <v>287.68</v>
          </cell>
          <cell r="C174">
            <v>13.16</v>
          </cell>
          <cell r="D174">
            <v>283.10000000000002</v>
          </cell>
          <cell r="E174">
            <v>-1.3225559236201759E-2</v>
          </cell>
          <cell r="F174">
            <v>-9.0772181511165392E-3</v>
          </cell>
          <cell r="G174">
            <v>1.512618928229114E-2</v>
          </cell>
          <cell r="H174">
            <v>241.22655367314974</v>
          </cell>
          <cell r="I174">
            <v>9.9970277032753128</v>
          </cell>
          <cell r="J174">
            <v>171.15505855118698</v>
          </cell>
        </row>
        <row r="175">
          <cell r="B175">
            <v>292.08999999999997</v>
          </cell>
          <cell r="C175">
            <v>12.96</v>
          </cell>
          <cell r="D175">
            <v>286.19</v>
          </cell>
          <cell r="E175">
            <v>1.5213222673335488E-2</v>
          </cell>
          <cell r="F175">
            <v>-1.5314234973042481E-2</v>
          </cell>
          <cell r="G175">
            <v>1.0855733793081178E-2</v>
          </cell>
          <cell r="H175">
            <v>242.44653148662366</v>
          </cell>
          <cell r="I175">
            <v>9.8445172006376414</v>
          </cell>
          <cell r="J175">
            <v>173.28585859305682</v>
          </cell>
        </row>
        <row r="176">
          <cell r="B176">
            <v>295.45</v>
          </cell>
          <cell r="C176">
            <v>13.09</v>
          </cell>
          <cell r="D176">
            <v>284.14999999999998</v>
          </cell>
          <cell r="E176">
            <v>1.1437643835092576E-2</v>
          </cell>
          <cell r="F176">
            <v>9.9808889976799146E-3</v>
          </cell>
          <cell r="G176">
            <v>-7.1536581678047408E-3</v>
          </cell>
          <cell r="H176">
            <v>247.46287732441513</v>
          </cell>
          <cell r="I176">
            <v>9.8365352677079123</v>
          </cell>
          <cell r="J176">
            <v>166.20657586064232</v>
          </cell>
        </row>
        <row r="177">
          <cell r="B177">
            <v>292.93</v>
          </cell>
          <cell r="C177">
            <v>13.14</v>
          </cell>
          <cell r="D177">
            <v>280.7</v>
          </cell>
          <cell r="E177">
            <v>-8.5659451674721214E-3</v>
          </cell>
          <cell r="F177">
            <v>3.8124331346559388E-3</v>
          </cell>
          <cell r="G177">
            <v>-1.221578437529367E-2</v>
          </cell>
          <cell r="H177">
            <v>257.77822673169265</v>
          </cell>
          <cell r="I177">
            <v>10.126087222610915</v>
          </cell>
          <cell r="J177">
            <v>163.4647786072087</v>
          </cell>
        </row>
        <row r="178">
          <cell r="B178">
            <v>294.72000000000003</v>
          </cell>
          <cell r="C178">
            <v>13.03</v>
          </cell>
          <cell r="D178">
            <v>278.77999999999997</v>
          </cell>
          <cell r="E178">
            <v>6.0920804427306574E-3</v>
          </cell>
          <cell r="F178">
            <v>-8.4066219197107862E-3</v>
          </cell>
          <cell r="G178">
            <v>-6.863543066096575E-3</v>
          </cell>
          <cell r="H178">
            <v>252.48725809851496</v>
          </cell>
          <cell r="I178">
            <v>10.280570291375154</v>
          </cell>
          <cell r="J178">
            <v>161.13731649976759</v>
          </cell>
        </row>
        <row r="179">
          <cell r="B179">
            <v>301.87</v>
          </cell>
          <cell r="C179">
            <v>13.14</v>
          </cell>
          <cell r="D179">
            <v>277.89</v>
          </cell>
          <cell r="E179">
            <v>2.3970708055726715E-2</v>
          </cell>
          <cell r="F179">
            <v>8.4066219197107654E-3</v>
          </cell>
          <cell r="G179">
            <v>-3.1975883676944017E-3</v>
          </cell>
          <cell r="H179">
            <v>264.27111578040444</v>
          </cell>
          <cell r="I179">
            <v>10.032236679112685</v>
          </cell>
          <cell r="J179">
            <v>159.67214439913704</v>
          </cell>
        </row>
        <row r="180">
          <cell r="B180">
            <v>303.41000000000003</v>
          </cell>
          <cell r="C180">
            <v>13.08</v>
          </cell>
          <cell r="D180">
            <v>277.18</v>
          </cell>
          <cell r="E180">
            <v>5.088565037658619E-3</v>
          </cell>
          <cell r="F180">
            <v>-4.5766670274118666E-3</v>
          </cell>
          <cell r="G180">
            <v>-2.5582372933893359E-3</v>
          </cell>
          <cell r="H180">
            <v>259.36268913014567</v>
          </cell>
          <cell r="I180">
            <v>10.257018610755336</v>
          </cell>
          <cell r="J180">
            <v>161.4223306167666</v>
          </cell>
        </row>
        <row r="181">
          <cell r="B181">
            <v>310.14</v>
          </cell>
          <cell r="C181">
            <v>13.41</v>
          </cell>
          <cell r="D181">
            <v>278.77999999999997</v>
          </cell>
          <cell r="E181">
            <v>2.193878227567542E-2</v>
          </cell>
          <cell r="F181">
            <v>2.4916351264534418E-2</v>
          </cell>
          <cell r="G181">
            <v>5.7558256610836991E-3</v>
          </cell>
          <cell r="H181">
            <v>257.48201633656623</v>
          </cell>
          <cell r="I181">
            <v>10.279473137894088</v>
          </cell>
          <cell r="J181">
            <v>161.3225723776853</v>
          </cell>
        </row>
        <row r="182">
          <cell r="B182">
            <v>304.85000000000002</v>
          </cell>
          <cell r="C182">
            <v>13.63</v>
          </cell>
          <cell r="D182">
            <v>278.02999999999997</v>
          </cell>
          <cell r="E182">
            <v>-1.7203956082177733E-2</v>
          </cell>
          <cell r="F182">
            <v>1.6272548414854187E-2</v>
          </cell>
          <cell r="G182">
            <v>-2.6939187642996787E-3</v>
          </cell>
          <cell r="H182">
            <v>252.32668674395168</v>
          </cell>
          <cell r="I182">
            <v>10.314020285730011</v>
          </cell>
          <cell r="J182">
            <v>163.81439827153196</v>
          </cell>
        </row>
        <row r="183">
          <cell r="B183">
            <v>292.04000000000002</v>
          </cell>
          <cell r="C183">
            <v>13.76</v>
          </cell>
          <cell r="D183">
            <v>278.27999999999997</v>
          </cell>
          <cell r="E183">
            <v>-4.2929073165940156E-2</v>
          </cell>
          <cell r="F183">
            <v>9.4925867967562676E-3</v>
          </cell>
          <cell r="G183">
            <v>8.9877951799999299E-4</v>
          </cell>
          <cell r="H183">
            <v>246.12887936471577</v>
          </cell>
          <cell r="I183">
            <v>10.202969462551811</v>
          </cell>
          <cell r="J183">
            <v>167.56569652269818</v>
          </cell>
        </row>
        <row r="184">
          <cell r="B184">
            <v>287.74</v>
          </cell>
          <cell r="C184">
            <v>13.65</v>
          </cell>
          <cell r="D184">
            <v>274.11</v>
          </cell>
          <cell r="E184">
            <v>-1.4833484578998038E-2</v>
          </cell>
          <cell r="F184">
            <v>-8.0263108742288213E-3</v>
          </cell>
          <cell r="G184">
            <v>-1.509831537680152E-2</v>
          </cell>
          <cell r="H184">
            <v>240.80170256498587</v>
          </cell>
          <cell r="I184">
            <v>9.9763650189058151</v>
          </cell>
          <cell r="J184">
            <v>170.5917637560344</v>
          </cell>
        </row>
        <row r="185">
          <cell r="B185">
            <v>286.87</v>
          </cell>
          <cell r="C185">
            <v>13.67</v>
          </cell>
          <cell r="D185">
            <v>274.61</v>
          </cell>
          <cell r="E185">
            <v>-3.0281431398673378E-3</v>
          </cell>
          <cell r="F185">
            <v>1.464129104889448E-3</v>
          </cell>
          <cell r="G185">
            <v>1.8224235981354902E-3</v>
          </cell>
          <cell r="H185">
            <v>241.21576280138302</v>
          </cell>
          <cell r="I185">
            <v>10.347330303011262</v>
          </cell>
          <cell r="J185">
            <v>172.32317718901268</v>
          </cell>
        </row>
        <row r="186">
          <cell r="B186">
            <v>276.95999999999998</v>
          </cell>
          <cell r="C186">
            <v>13.31</v>
          </cell>
          <cell r="D186">
            <v>271.83999999999997</v>
          </cell>
          <cell r="E186">
            <v>-3.5156060041120589E-2</v>
          </cell>
          <cell r="F186">
            <v>-2.6688018328837847E-2</v>
          </cell>
          <cell r="G186">
            <v>-1.013825135315272E-2</v>
          </cell>
          <cell r="H186">
            <v>240.18757456510926</v>
          </cell>
          <cell r="I186">
            <v>10.484888050946147</v>
          </cell>
          <cell r="J186">
            <v>176.42690164515096</v>
          </cell>
        </row>
        <row r="187">
          <cell r="B187">
            <v>284.68</v>
          </cell>
          <cell r="C187">
            <v>13.32</v>
          </cell>
          <cell r="D187">
            <v>272.19</v>
          </cell>
          <cell r="E187">
            <v>2.7492651003171404E-2</v>
          </cell>
          <cell r="F187">
            <v>7.5103270522275075E-4</v>
          </cell>
          <cell r="G187">
            <v>1.2866939260253387E-3</v>
          </cell>
          <cell r="H187">
            <v>239.75061836412283</v>
          </cell>
          <cell r="I187">
            <v>10.410013914001551</v>
          </cell>
          <cell r="J187">
            <v>185.49266870123935</v>
          </cell>
        </row>
        <row r="188">
          <cell r="B188">
            <v>288.95</v>
          </cell>
          <cell r="C188">
            <v>13.47</v>
          </cell>
          <cell r="D188">
            <v>273.67</v>
          </cell>
          <cell r="E188">
            <v>1.4887920332716654E-2</v>
          </cell>
          <cell r="F188">
            <v>1.1198325310029535E-2</v>
          </cell>
          <cell r="G188">
            <v>5.4226491284583497E-3</v>
          </cell>
          <cell r="H188">
            <v>247.01949222746956</v>
          </cell>
          <cell r="I188">
            <v>10.88065672496764</v>
          </cell>
          <cell r="J188">
            <v>185.79106789979991</v>
          </cell>
        </row>
        <row r="189">
          <cell r="B189">
            <v>293.27999999999997</v>
          </cell>
          <cell r="C189">
            <v>13.46</v>
          </cell>
          <cell r="D189">
            <v>270.97000000000003</v>
          </cell>
          <cell r="E189">
            <v>1.4874121327607896E-2</v>
          </cell>
          <cell r="F189">
            <v>-7.4266620569089445E-4</v>
          </cell>
          <cell r="G189">
            <v>-9.9148873332354798E-3</v>
          </cell>
          <cell r="H189">
            <v>249.79977354528</v>
          </cell>
          <cell r="I189">
            <v>10.798211488976875</v>
          </cell>
          <cell r="J189">
            <v>188.59308450539496</v>
          </cell>
        </row>
        <row r="190">
          <cell r="B190">
            <v>296.95</v>
          </cell>
          <cell r="C190">
            <v>13.29</v>
          </cell>
          <cell r="D190">
            <v>272.36</v>
          </cell>
          <cell r="E190">
            <v>1.2435990370474404E-2</v>
          </cell>
          <cell r="F190">
            <v>-1.2710451491427964E-2</v>
          </cell>
          <cell r="G190">
            <v>5.116606969895846E-3</v>
          </cell>
          <cell r="H190">
            <v>246.7824433380238</v>
          </cell>
          <cell r="I190">
            <v>10.643343865264189</v>
          </cell>
          <cell r="J190">
            <v>186.31082908656558</v>
          </cell>
        </row>
        <row r="191">
          <cell r="B191">
            <v>298.8</v>
          </cell>
          <cell r="C191">
            <v>13.36</v>
          </cell>
          <cell r="D191">
            <v>273.81</v>
          </cell>
          <cell r="E191">
            <v>6.2106787967930984E-3</v>
          </cell>
          <cell r="F191">
            <v>5.2532953833456277E-3</v>
          </cell>
          <cell r="G191">
            <v>5.3097145821295851E-3</v>
          </cell>
          <cell r="H191">
            <v>243.62106261655882</v>
          </cell>
          <cell r="I191">
            <v>10.685667507683604</v>
          </cell>
          <cell r="J191">
            <v>182.04335209975747</v>
          </cell>
        </row>
        <row r="192">
          <cell r="B192">
            <v>302.83999999999997</v>
          </cell>
          <cell r="C192">
            <v>13.31</v>
          </cell>
          <cell r="D192">
            <v>273.39999999999998</v>
          </cell>
          <cell r="E192">
            <v>1.3430159976443453E-2</v>
          </cell>
          <cell r="F192">
            <v>-3.7495357014793633E-3</v>
          </cell>
          <cell r="G192">
            <v>-1.4985109070465431E-3</v>
          </cell>
          <cell r="H192">
            <v>245.69720681466788</v>
          </cell>
          <cell r="I192">
            <v>10.79458491564745</v>
          </cell>
          <cell r="J192">
            <v>178.39136051509738</v>
          </cell>
        </row>
        <row r="193">
          <cell r="B193">
            <v>300.92</v>
          </cell>
          <cell r="C193">
            <v>13.28</v>
          </cell>
          <cell r="D193">
            <v>273.76</v>
          </cell>
          <cell r="E193">
            <v>-6.3601645430848997E-3</v>
          </cell>
          <cell r="F193">
            <v>-2.2564883587325038E-3</v>
          </cell>
          <cell r="G193">
            <v>1.3158858540342575E-3</v>
          </cell>
          <cell r="H193">
            <v>252.35906134086926</v>
          </cell>
          <cell r="I193">
            <v>10.767489814921648</v>
          </cell>
          <cell r="J193">
            <v>180.55303583652434</v>
          </cell>
        </row>
        <row r="194">
          <cell r="B194">
            <v>299.58</v>
          </cell>
          <cell r="C194">
            <v>13.23</v>
          </cell>
          <cell r="D194">
            <v>273.08</v>
          </cell>
          <cell r="E194">
            <v>-4.4629549514479897E-3</v>
          </cell>
          <cell r="F194">
            <v>-3.7721659214234125E-3</v>
          </cell>
          <cell r="G194">
            <v>-2.4870175938038587E-3</v>
          </cell>
          <cell r="H194">
            <v>253.15050056940981</v>
          </cell>
          <cell r="I194">
            <v>10.619201281426818</v>
          </cell>
          <cell r="J194">
            <v>180.27498116346925</v>
          </cell>
        </row>
        <row r="195">
          <cell r="B195">
            <v>303.89</v>
          </cell>
          <cell r="C195">
            <v>13.12</v>
          </cell>
          <cell r="D195">
            <v>271.86</v>
          </cell>
          <cell r="E195">
            <v>1.4284300079734713E-2</v>
          </cell>
          <cell r="F195">
            <v>-8.3491946109214045E-3</v>
          </cell>
          <cell r="G195">
            <v>-4.4775646429776467E-3</v>
          </cell>
          <cell r="H195">
            <v>261.28285455142333</v>
          </cell>
          <cell r="I195">
            <v>10.344017344192997</v>
          </cell>
          <cell r="J195">
            <v>187.99456663132474</v>
          </cell>
        </row>
        <row r="196">
          <cell r="B196">
            <v>319.61</v>
          </cell>
          <cell r="C196">
            <v>13.34</v>
          </cell>
          <cell r="D196">
            <v>271.01</v>
          </cell>
          <cell r="E196">
            <v>5.0435708693707185E-2</v>
          </cell>
          <cell r="F196">
            <v>1.6629256971534747E-2</v>
          </cell>
          <cell r="G196">
            <v>-3.1315073391992238E-3</v>
          </cell>
          <cell r="H196">
            <v>277.13548809675478</v>
          </cell>
          <cell r="I196">
            <v>10.180810996245221</v>
          </cell>
          <cell r="J196">
            <v>188.74482884048442</v>
          </cell>
        </row>
        <row r="197">
          <cell r="B197">
            <v>322.25</v>
          </cell>
          <cell r="C197">
            <v>13.47</v>
          </cell>
          <cell r="D197">
            <v>267.26</v>
          </cell>
          <cell r="E197">
            <v>8.226139305281913E-3</v>
          </cell>
          <cell r="F197">
            <v>9.6979499347949628E-3</v>
          </cell>
          <cell r="G197">
            <v>-1.3933753214987847E-2</v>
          </cell>
          <cell r="H197">
            <v>285.62882587573944</v>
          </cell>
          <cell r="I197">
            <v>10.20587646549289</v>
          </cell>
          <cell r="J197">
            <v>193.03983042498865</v>
          </cell>
        </row>
        <row r="198">
          <cell r="B198">
            <v>327.43</v>
          </cell>
          <cell r="C198">
            <v>13.8</v>
          </cell>
          <cell r="D198">
            <v>262.36</v>
          </cell>
          <cell r="E198">
            <v>1.594664995224751E-2</v>
          </cell>
          <cell r="F198">
            <v>2.4203601740886399E-2</v>
          </cell>
          <cell r="G198">
            <v>-1.8504360927380031E-2</v>
          </cell>
          <cell r="H198">
            <v>269.41200838543142</v>
          </cell>
          <cell r="I198">
            <v>10.650605056805061</v>
          </cell>
          <cell r="J198">
            <v>187.79242517391816</v>
          </cell>
        </row>
        <row r="199">
          <cell r="B199">
            <v>318.68</v>
          </cell>
          <cell r="C199">
            <v>13.74</v>
          </cell>
          <cell r="D199">
            <v>260.33</v>
          </cell>
          <cell r="E199">
            <v>-2.7086827259378912E-2</v>
          </cell>
          <cell r="F199">
            <v>-4.3573053689558126E-3</v>
          </cell>
          <cell r="G199">
            <v>-7.7675494332428621E-3</v>
          </cell>
          <cell r="H199">
            <v>273.20454881126915</v>
          </cell>
          <cell r="I199">
            <v>10.505537996659992</v>
          </cell>
          <cell r="J199">
            <v>186.12688432837413</v>
          </cell>
        </row>
        <row r="200">
          <cell r="B200">
            <v>318.01</v>
          </cell>
          <cell r="C200">
            <v>14.4</v>
          </cell>
          <cell r="D200">
            <v>259.04000000000002</v>
          </cell>
          <cell r="E200">
            <v>-2.1046356855401369E-3</v>
          </cell>
          <cell r="F200">
            <v>4.6916919787751657E-2</v>
          </cell>
          <cell r="G200">
            <v>-4.9675670629667958E-3</v>
          </cell>
          <cell r="H200">
            <v>278.32287222901124</v>
          </cell>
          <cell r="I200">
            <v>10.306807116115703</v>
          </cell>
          <cell r="J200">
            <v>184.07685525685406</v>
          </cell>
        </row>
        <row r="201">
          <cell r="B201">
            <v>323.63</v>
          </cell>
          <cell r="C201">
            <v>14.2</v>
          </cell>
          <cell r="D201">
            <v>259.37</v>
          </cell>
          <cell r="E201">
            <v>1.7518059106414383E-2</v>
          </cell>
          <cell r="F201">
            <v>-1.3986241974739952E-2</v>
          </cell>
          <cell r="G201">
            <v>1.2731237613982068E-3</v>
          </cell>
          <cell r="H201">
            <v>279.54014207635487</v>
          </cell>
          <cell r="I201">
            <v>10.594790307503731</v>
          </cell>
          <cell r="J201">
            <v>186.54465664381803</v>
          </cell>
        </row>
        <row r="202">
          <cell r="B202">
            <v>331.77</v>
          </cell>
          <cell r="C202">
            <v>14.03</v>
          </cell>
          <cell r="D202">
            <v>260.25</v>
          </cell>
          <cell r="E202">
            <v>2.4841069822338864E-2</v>
          </cell>
          <cell r="F202">
            <v>-1.2044070492845459E-2</v>
          </cell>
          <cell r="G202">
            <v>3.3870938043550165E-3</v>
          </cell>
          <cell r="H202">
            <v>274.30295603382706</v>
          </cell>
          <cell r="I202">
            <v>10.462300685761507</v>
          </cell>
          <cell r="J202">
            <v>195.95906056540835</v>
          </cell>
        </row>
        <row r="203">
          <cell r="B203">
            <v>331.21</v>
          </cell>
          <cell r="C203">
            <v>13.98</v>
          </cell>
          <cell r="D203">
            <v>261.05</v>
          </cell>
          <cell r="E203">
            <v>-1.6893424633653389E-3</v>
          </cell>
          <cell r="F203">
            <v>-3.5701573087053144E-3</v>
          </cell>
          <cell r="G203">
            <v>3.069252361483235E-3</v>
          </cell>
          <cell r="H203">
            <v>273.37002095392586</v>
          </cell>
          <cell r="I203">
            <v>10.458293545288367</v>
          </cell>
          <cell r="J203">
            <v>190.41258216529732</v>
          </cell>
        </row>
        <row r="204">
          <cell r="B204">
            <v>327.11</v>
          </cell>
          <cell r="C204">
            <v>13.84</v>
          </cell>
          <cell r="D204">
            <v>259.95999999999998</v>
          </cell>
          <cell r="E204">
            <v>-1.2456109524364765E-2</v>
          </cell>
          <cell r="F204">
            <v>-1.0064786616140709E-2</v>
          </cell>
          <cell r="G204">
            <v>-4.1841868304133703E-3</v>
          </cell>
          <cell r="H204">
            <v>273.34770537830127</v>
          </cell>
          <cell r="I204">
            <v>10.409876092490563</v>
          </cell>
          <cell r="J204">
            <v>190.19333865050652</v>
          </cell>
        </row>
        <row r="205">
          <cell r="B205">
            <v>341.64</v>
          </cell>
          <cell r="C205">
            <v>13.81</v>
          </cell>
          <cell r="D205">
            <v>258.20999999999998</v>
          </cell>
          <cell r="E205">
            <v>4.346104531029827E-2</v>
          </cell>
          <cell r="F205">
            <v>-2.1699827683226932E-3</v>
          </cell>
          <cell r="G205">
            <v>-6.7545656966553251E-3</v>
          </cell>
          <cell r="H205">
            <v>272.16312599072558</v>
          </cell>
          <cell r="I205">
            <v>10.352041495251546</v>
          </cell>
          <cell r="J205">
            <v>197.58543783904753</v>
          </cell>
        </row>
        <row r="206">
          <cell r="B206">
            <v>342.4</v>
          </cell>
          <cell r="C206">
            <v>13.6</v>
          </cell>
          <cell r="D206">
            <v>255.53</v>
          </cell>
          <cell r="E206">
            <v>2.2220931896405846E-3</v>
          </cell>
          <cell r="F206">
            <v>-1.5323174679194442E-2</v>
          </cell>
          <cell r="G206">
            <v>-1.0433387748804377E-2</v>
          </cell>
          <cell r="H206">
            <v>266.40611229902873</v>
          </cell>
          <cell r="I206">
            <v>10.750397983889641</v>
          </cell>
          <cell r="J206">
            <v>196.91493746636823</v>
          </cell>
        </row>
        <row r="207">
          <cell r="B207">
            <v>327.16000000000003</v>
          </cell>
          <cell r="C207">
            <v>13.28</v>
          </cell>
          <cell r="D207">
            <v>246.7</v>
          </cell>
          <cell r="E207">
            <v>-4.5530296400813519E-2</v>
          </cell>
          <cell r="F207">
            <v>-2.3810648693718559E-2</v>
          </cell>
          <cell r="G207">
            <v>-3.5166796045377341E-2</v>
          </cell>
          <cell r="H207">
            <v>266.4579714527527</v>
          </cell>
          <cell r="I207">
            <v>10.75656270089233</v>
          </cell>
          <cell r="J207">
            <v>197.95926556594998</v>
          </cell>
        </row>
        <row r="208">
          <cell r="B208">
            <v>326.12</v>
          </cell>
          <cell r="C208">
            <v>13.77</v>
          </cell>
          <cell r="D208">
            <v>247.65</v>
          </cell>
          <cell r="E208">
            <v>-3.1839360720633488E-3</v>
          </cell>
          <cell r="F208">
            <v>3.6233168692275809E-2</v>
          </cell>
          <cell r="G208">
            <v>3.8434354989358229E-3</v>
          </cell>
          <cell r="H208">
            <v>270.76919376611704</v>
          </cell>
          <cell r="I208">
            <v>10.963523133490732</v>
          </cell>
          <cell r="J208">
            <v>197.87458792127848</v>
          </cell>
        </row>
        <row r="209">
          <cell r="B209">
            <v>327.37</v>
          </cell>
          <cell r="C209">
            <v>13.71</v>
          </cell>
          <cell r="D209">
            <v>248.35</v>
          </cell>
          <cell r="E209">
            <v>3.8256179115686564E-3</v>
          </cell>
          <cell r="F209">
            <v>-4.3668191663404025E-3</v>
          </cell>
          <cell r="G209">
            <v>2.8225825191126939E-3</v>
          </cell>
          <cell r="H209">
            <v>265.05034127574703</v>
          </cell>
          <cell r="I209">
            <v>11.23833709292518</v>
          </cell>
          <cell r="J209">
            <v>196.39619680105764</v>
          </cell>
        </row>
        <row r="210">
          <cell r="B210">
            <v>334.87</v>
          </cell>
          <cell r="C210">
            <v>13.56</v>
          </cell>
          <cell r="D210">
            <v>248.04</v>
          </cell>
          <cell r="E210">
            <v>2.2651367102644211E-2</v>
          </cell>
          <cell r="F210">
            <v>-1.1001211061973569E-2</v>
          </cell>
          <cell r="G210">
            <v>-1.2490180716823703E-3</v>
          </cell>
          <cell r="H210">
            <v>257.46430188252532</v>
          </cell>
          <cell r="I210">
            <v>11.514818692974757</v>
          </cell>
          <cell r="J210">
            <v>191.33844980917928</v>
          </cell>
        </row>
        <row r="211">
          <cell r="B211">
            <v>332.71</v>
          </cell>
          <cell r="C211">
            <v>13.44</v>
          </cell>
          <cell r="D211">
            <v>255.41</v>
          </cell>
          <cell r="E211">
            <v>-6.4711571276916307E-3</v>
          </cell>
          <cell r="F211">
            <v>-8.888947417246152E-3</v>
          </cell>
          <cell r="G211">
            <v>2.9280073618068572E-2</v>
          </cell>
          <cell r="H211">
            <v>258.74135255289741</v>
          </cell>
          <cell r="I211">
            <v>11.471171506316091</v>
          </cell>
          <cell r="J211">
            <v>196.50517361700705</v>
          </cell>
        </row>
        <row r="212">
          <cell r="B212">
            <v>338.34</v>
          </cell>
          <cell r="C212">
            <v>13.93</v>
          </cell>
          <cell r="D212">
            <v>258.27</v>
          </cell>
          <cell r="E212">
            <v>1.6780067365914378E-2</v>
          </cell>
          <cell r="F212">
            <v>3.5809452696710778E-2</v>
          </cell>
          <cell r="G212">
            <v>1.1135452238227017E-2</v>
          </cell>
          <cell r="H212">
            <v>264.80932535999034</v>
          </cell>
          <cell r="I212">
            <v>11.829499215043633</v>
          </cell>
          <cell r="J212">
            <v>189.8384068519407</v>
          </cell>
        </row>
        <row r="213">
          <cell r="B213">
            <v>342.3</v>
          </cell>
          <cell r="C213">
            <v>13.82</v>
          </cell>
          <cell r="D213">
            <v>256.44</v>
          </cell>
          <cell r="E213">
            <v>1.1636238488994106E-2</v>
          </cell>
          <cell r="F213">
            <v>-7.9279694521904327E-3</v>
          </cell>
          <cell r="G213">
            <v>-7.1108302189163246E-3</v>
          </cell>
          <cell r="H213">
            <v>266.0051013839211</v>
          </cell>
          <cell r="I213">
            <v>12.085944519494651</v>
          </cell>
          <cell r="J213">
            <v>190.0353594877713</v>
          </cell>
        </row>
        <row r="214">
          <cell r="B214">
            <v>339.55</v>
          </cell>
          <cell r="C214">
            <v>14</v>
          </cell>
          <cell r="D214">
            <v>258.27999999999997</v>
          </cell>
          <cell r="E214">
            <v>-8.066333976339277E-3</v>
          </cell>
          <cell r="F214">
            <v>1.2940511275734732E-2</v>
          </cell>
          <cell r="G214">
            <v>7.1495486392095589E-3</v>
          </cell>
          <cell r="H214">
            <v>267.45768967299091</v>
          </cell>
          <cell r="I214">
            <v>12.211532096492643</v>
          </cell>
          <cell r="J214">
            <v>187.07577184496347</v>
          </cell>
        </row>
        <row r="215">
          <cell r="B215">
            <v>330.56</v>
          </cell>
          <cell r="C215">
            <v>13.88</v>
          </cell>
          <cell r="D215">
            <v>259.48</v>
          </cell>
          <cell r="E215">
            <v>-2.6833025628526696E-2</v>
          </cell>
          <cell r="F215">
            <v>-8.6083745366001638E-3</v>
          </cell>
          <cell r="G215">
            <v>4.6353605865885536E-3</v>
          </cell>
          <cell r="H215">
            <v>270.53277014872771</v>
          </cell>
          <cell r="I215">
            <v>11.841782507276921</v>
          </cell>
          <cell r="J215">
            <v>186.53969406247305</v>
          </cell>
        </row>
        <row r="216">
          <cell r="B216">
            <v>341.36</v>
          </cell>
          <cell r="C216">
            <v>13.81</v>
          </cell>
          <cell r="D216">
            <v>270.01</v>
          </cell>
          <cell r="E216">
            <v>3.214945294847079E-2</v>
          </cell>
          <cell r="F216">
            <v>-5.0559876574577259E-3</v>
          </cell>
          <cell r="G216">
            <v>3.9779367004702977E-2</v>
          </cell>
          <cell r="H216">
            <v>274.17611840402247</v>
          </cell>
          <cell r="I216">
            <v>11.787913702895333</v>
          </cell>
          <cell r="J216">
            <v>184.44999657286397</v>
          </cell>
        </row>
        <row r="217">
          <cell r="B217">
            <v>335.75</v>
          </cell>
          <cell r="C217">
            <v>13.73</v>
          </cell>
          <cell r="D217">
            <v>269.48</v>
          </cell>
          <cell r="E217">
            <v>-1.6570803476397555E-2</v>
          </cell>
          <cell r="F217">
            <v>-5.8097476413211018E-3</v>
          </cell>
          <cell r="G217">
            <v>-1.9648192570985205E-3</v>
          </cell>
          <cell r="H217">
            <v>271.54931307073582</v>
          </cell>
          <cell r="I217">
            <v>11.684691442340611</v>
          </cell>
          <cell r="J217">
            <v>184.28451717983802</v>
          </cell>
        </row>
        <row r="218">
          <cell r="B218">
            <v>325.74</v>
          </cell>
          <cell r="C218">
            <v>13.82</v>
          </cell>
          <cell r="D218">
            <v>276.49</v>
          </cell>
          <cell r="E218">
            <v>-3.0267318257932201E-2</v>
          </cell>
          <cell r="F218">
            <v>6.5335985596442284E-3</v>
          </cell>
          <cell r="G218">
            <v>2.5680477850631312E-2</v>
          </cell>
          <cell r="H218">
            <v>264.51588980270134</v>
          </cell>
          <cell r="I218">
            <v>11.731346669932401</v>
          </cell>
          <cell r="J218">
            <v>186.59722216975294</v>
          </cell>
        </row>
        <row r="219">
          <cell r="B219">
            <v>330.73</v>
          </cell>
          <cell r="C219">
            <v>13.72</v>
          </cell>
          <cell r="D219">
            <v>275.91000000000003</v>
          </cell>
          <cell r="E219">
            <v>1.5202815389451792E-2</v>
          </cell>
          <cell r="F219">
            <v>-7.2621960417846715E-3</v>
          </cell>
          <cell r="G219">
            <v>-2.0999283603744651E-3</v>
          </cell>
          <cell r="H219">
            <v>265.91430412799645</v>
          </cell>
          <cell r="I219">
            <v>11.909352085741791</v>
          </cell>
          <cell r="J219">
            <v>188.65919534969302</v>
          </cell>
        </row>
        <row r="220">
          <cell r="B220">
            <v>348.85</v>
          </cell>
          <cell r="C220">
            <v>13.8</v>
          </cell>
          <cell r="D220">
            <v>278.12</v>
          </cell>
          <cell r="E220">
            <v>5.3339697850379238E-2</v>
          </cell>
          <cell r="F220">
            <v>5.8139698654198161E-3</v>
          </cell>
          <cell r="G220">
            <v>7.9779496481011784E-3</v>
          </cell>
          <cell r="H220">
            <v>265.31468422655104</v>
          </cell>
          <cell r="I220">
            <v>11.97483480698636</v>
          </cell>
          <cell r="J220">
            <v>187.0654030907701</v>
          </cell>
        </row>
        <row r="221">
          <cell r="B221">
            <v>355.41</v>
          </cell>
          <cell r="C221">
            <v>13.59</v>
          </cell>
          <cell r="D221">
            <v>274.62</v>
          </cell>
          <cell r="E221">
            <v>1.863002224953186E-2</v>
          </cell>
          <cell r="F221">
            <v>-1.5334364000106687E-2</v>
          </cell>
          <cell r="G221">
            <v>-1.2664351337211381E-2</v>
          </cell>
          <cell r="H221">
            <v>268.38016230506599</v>
          </cell>
          <cell r="I221">
            <v>12.15145178540846</v>
          </cell>
          <cell r="J221">
            <v>190.67922316061811</v>
          </cell>
        </row>
        <row r="222">
          <cell r="B222">
            <v>361.91</v>
          </cell>
          <cell r="C222">
            <v>13.57</v>
          </cell>
          <cell r="D222">
            <v>273.68</v>
          </cell>
          <cell r="E222">
            <v>1.8123509495689725E-2</v>
          </cell>
          <cell r="F222">
            <v>-1.4727543162745406E-3</v>
          </cell>
          <cell r="G222">
            <v>-3.4287832242565278E-3</v>
          </cell>
          <cell r="H222">
            <v>265.01070039132901</v>
          </cell>
          <cell r="I222">
            <v>11.953671865725662</v>
          </cell>
          <cell r="J222">
            <v>190.34226071336181</v>
          </cell>
        </row>
        <row r="223">
          <cell r="B223">
            <v>374.09</v>
          </cell>
          <cell r="C223">
            <v>13.85</v>
          </cell>
          <cell r="D223">
            <v>275.5</v>
          </cell>
          <cell r="E223">
            <v>3.3100848045722067E-2</v>
          </cell>
          <cell r="F223">
            <v>2.0423758786569747E-2</v>
          </cell>
          <cell r="G223">
            <v>6.6280879236198581E-3</v>
          </cell>
          <cell r="H223">
            <v>265.3640717138457</v>
          </cell>
          <cell r="I223">
            <v>11.913970496265923</v>
          </cell>
          <cell r="J223">
            <v>188.67347037976987</v>
          </cell>
        </row>
        <row r="224">
          <cell r="B224">
            <v>368.1</v>
          </cell>
          <cell r="C224">
            <v>14</v>
          </cell>
          <cell r="D224">
            <v>261.73</v>
          </cell>
          <cell r="E224">
            <v>-1.6141769791213949E-2</v>
          </cell>
          <cell r="F224">
            <v>1.077209698191104E-2</v>
          </cell>
          <cell r="G224">
            <v>-5.1274190548633441E-2</v>
          </cell>
          <cell r="H224">
            <v>259.64888839721635</v>
          </cell>
          <cell r="I224">
            <v>12.321754109531643</v>
          </cell>
          <cell r="J224">
            <v>186.87502501534271</v>
          </cell>
        </row>
        <row r="225">
          <cell r="B225">
            <v>366.36</v>
          </cell>
          <cell r="C225">
            <v>14.12</v>
          </cell>
          <cell r="D225">
            <v>255.78</v>
          </cell>
          <cell r="E225">
            <v>-4.7381838501886903E-3</v>
          </cell>
          <cell r="F225">
            <v>8.5349024498372859E-3</v>
          </cell>
          <cell r="G225">
            <v>-2.2995738039161814E-2</v>
          </cell>
          <cell r="H225">
            <v>271.65332093370534</v>
          </cell>
          <cell r="I225">
            <v>12.363136642871666</v>
          </cell>
          <cell r="J225">
            <v>185.01262620051583</v>
          </cell>
        </row>
        <row r="226">
          <cell r="B226">
            <v>364.2</v>
          </cell>
          <cell r="C226">
            <v>14.13</v>
          </cell>
          <cell r="D226">
            <v>263.88</v>
          </cell>
          <cell r="E226">
            <v>-5.913289241279247E-3</v>
          </cell>
          <cell r="F226">
            <v>7.0796463134009419E-4</v>
          </cell>
          <cell r="G226">
            <v>3.1176754349496051E-2</v>
          </cell>
          <cell r="H226">
            <v>281.56874155529221</v>
          </cell>
          <cell r="I226">
            <v>12.477488682728637</v>
          </cell>
          <cell r="J226">
            <v>188.78955960792459</v>
          </cell>
        </row>
        <row r="227">
          <cell r="B227">
            <v>362.26</v>
          </cell>
          <cell r="C227">
            <v>13.85</v>
          </cell>
          <cell r="D227">
            <v>264.35000000000002</v>
          </cell>
          <cell r="E227">
            <v>-5.3409812287370613E-3</v>
          </cell>
          <cell r="F227">
            <v>-2.0014964063088638E-2</v>
          </cell>
          <cell r="G227">
            <v>1.7795283267892476E-3</v>
          </cell>
          <cell r="H227">
            <v>273.77246806608957</v>
          </cell>
          <cell r="I227">
            <v>13.123147781733252</v>
          </cell>
          <cell r="J227">
            <v>195.55663406869616</v>
          </cell>
        </row>
        <row r="228">
          <cell r="B228">
            <v>360.39</v>
          </cell>
          <cell r="C228">
            <v>13.78</v>
          </cell>
          <cell r="D228">
            <v>260.58</v>
          </cell>
          <cell r="E228">
            <v>-5.1754076633771301E-3</v>
          </cell>
          <cell r="F228">
            <v>-5.066967047835067E-3</v>
          </cell>
          <cell r="G228">
            <v>-1.4364066906673809E-2</v>
          </cell>
          <cell r="H228">
            <v>265.04666785790937</v>
          </cell>
          <cell r="I228">
            <v>13.26684319925414</v>
          </cell>
          <cell r="J228">
            <v>196.96276666586544</v>
          </cell>
        </row>
        <row r="229">
          <cell r="B229">
            <v>370.54</v>
          </cell>
          <cell r="C229">
            <v>14.01</v>
          </cell>
          <cell r="D229">
            <v>264.58</v>
          </cell>
          <cell r="E229">
            <v>2.7774622720473218E-2</v>
          </cell>
          <cell r="F229">
            <v>1.655309476340306E-2</v>
          </cell>
          <cell r="G229">
            <v>1.5233747259448463E-2</v>
          </cell>
          <cell r="H229">
            <v>267.67934010266947</v>
          </cell>
          <cell r="I229">
            <v>13.150136486408213</v>
          </cell>
          <cell r="J229">
            <v>195.45573002759082</v>
          </cell>
        </row>
        <row r="230">
          <cell r="B230">
            <v>370.04</v>
          </cell>
          <cell r="C230">
            <v>13.64</v>
          </cell>
          <cell r="D230">
            <v>266.18</v>
          </cell>
          <cell r="E230">
            <v>-1.3502932187488144E-3</v>
          </cell>
          <cell r="F230">
            <v>-2.6764707933599495E-2</v>
          </cell>
          <cell r="G230">
            <v>6.0291086241762307E-3</v>
          </cell>
          <cell r="H230">
            <v>270.93272589390961</v>
          </cell>
          <cell r="I230">
            <v>12.776004246932395</v>
          </cell>
          <cell r="J230">
            <v>201.80882196579009</v>
          </cell>
        </row>
        <row r="231">
          <cell r="B231">
            <v>385.75</v>
          </cell>
          <cell r="C231">
            <v>14.2</v>
          </cell>
          <cell r="D231">
            <v>272.14</v>
          </cell>
          <cell r="E231">
            <v>4.1578383340152299E-2</v>
          </cell>
          <cell r="F231">
            <v>4.0235312191898971E-2</v>
          </cell>
          <cell r="G231">
            <v>2.214386810430231E-2</v>
          </cell>
          <cell r="H231">
            <v>276.40991350673772</v>
          </cell>
          <cell r="I231">
            <v>12.909249457858454</v>
          </cell>
          <cell r="J231">
            <v>196.75124268204107</v>
          </cell>
        </row>
        <row r="232">
          <cell r="B232">
            <v>387.73</v>
          </cell>
          <cell r="C232">
            <v>14.43</v>
          </cell>
          <cell r="D232">
            <v>274.23</v>
          </cell>
          <cell r="E232">
            <v>5.1197298570556174E-3</v>
          </cell>
          <cell r="F232">
            <v>1.6067408178564543E-2</v>
          </cell>
          <cell r="G232">
            <v>7.650530571124887E-3</v>
          </cell>
          <cell r="H232">
            <v>274.52397385284428</v>
          </cell>
          <cell r="I232">
            <v>12.583299434839928</v>
          </cell>
          <cell r="J232">
            <v>200.135359771911</v>
          </cell>
        </row>
        <row r="233">
          <cell r="B233">
            <v>376.81</v>
          </cell>
          <cell r="C233">
            <v>14.41</v>
          </cell>
          <cell r="D233">
            <v>272.95</v>
          </cell>
          <cell r="E233">
            <v>-2.8568139472146616E-2</v>
          </cell>
          <cell r="F233">
            <v>-1.3869627743487095E-3</v>
          </cell>
          <cell r="G233">
            <v>-4.6785421060705724E-3</v>
          </cell>
          <cell r="H233">
            <v>285.23400850343859</v>
          </cell>
          <cell r="I233">
            <v>12.977162309668014</v>
          </cell>
          <cell r="J233">
            <v>194.51683533496188</v>
          </cell>
        </row>
        <row r="234">
          <cell r="B234">
            <v>374.58</v>
          </cell>
          <cell r="C234">
            <v>14.09</v>
          </cell>
          <cell r="D234">
            <v>264.18</v>
          </cell>
          <cell r="E234">
            <v>-5.9356833264715466E-3</v>
          </cell>
          <cell r="F234">
            <v>-2.2457084100841899E-2</v>
          </cell>
          <cell r="G234">
            <v>-3.265793923204912E-2</v>
          </cell>
          <cell r="H234">
            <v>306.64454602851123</v>
          </cell>
          <cell r="I234">
            <v>12.905843779245638</v>
          </cell>
          <cell r="J234">
            <v>193.0449261473332</v>
          </cell>
        </row>
        <row r="235">
          <cell r="B235">
            <v>369.11</v>
          </cell>
          <cell r="C235">
            <v>13.39</v>
          </cell>
          <cell r="D235">
            <v>264.72000000000003</v>
          </cell>
          <cell r="E235">
            <v>-1.4710695704015935E-2</v>
          </cell>
          <cell r="F235">
            <v>-5.0957166207507683E-2</v>
          </cell>
          <cell r="G235">
            <v>2.0419746176394381E-3</v>
          </cell>
          <cell r="H235">
            <v>308.07881135459178</v>
          </cell>
          <cell r="I235">
            <v>13.039887195419389</v>
          </cell>
          <cell r="J235">
            <v>188.68671048971851</v>
          </cell>
        </row>
        <row r="236">
          <cell r="B236">
            <v>353.13</v>
          </cell>
          <cell r="C236">
            <v>12.7</v>
          </cell>
          <cell r="D236">
            <v>263.75</v>
          </cell>
          <cell r="E236">
            <v>-4.4258441505192855E-2</v>
          </cell>
          <cell r="F236">
            <v>-5.2906166238535599E-2</v>
          </cell>
          <cell r="G236">
            <v>-3.6709788230805565E-3</v>
          </cell>
          <cell r="H236">
            <v>310.85782930427882</v>
          </cell>
          <cell r="I236">
            <v>12.523319006545998</v>
          </cell>
          <cell r="J236">
            <v>188.61609224461543</v>
          </cell>
        </row>
        <row r="237">
          <cell r="B237">
            <v>357.44</v>
          </cell>
          <cell r="C237">
            <v>12.81</v>
          </cell>
          <cell r="D237">
            <v>262.52</v>
          </cell>
          <cell r="E237">
            <v>1.2131254788336909E-2</v>
          </cell>
          <cell r="F237">
            <v>8.6241224440974044E-3</v>
          </cell>
          <cell r="G237">
            <v>-4.6744151847542721E-3</v>
          </cell>
          <cell r="H237">
            <v>312.91037728886988</v>
          </cell>
          <cell r="I237">
            <v>12.361613408028468</v>
          </cell>
          <cell r="J237">
            <v>192.75939513749481</v>
          </cell>
        </row>
        <row r="238">
          <cell r="B238">
            <v>353.86</v>
          </cell>
          <cell r="C238">
            <v>12.34</v>
          </cell>
          <cell r="D238">
            <v>260.29000000000002</v>
          </cell>
          <cell r="E238">
            <v>-1.0066161195979135E-2</v>
          </cell>
          <cell r="F238">
            <v>-3.7380097431401166E-2</v>
          </cell>
          <cell r="G238">
            <v>-8.5308755538726425E-3</v>
          </cell>
          <cell r="H238">
            <v>325.72771302729586</v>
          </cell>
          <cell r="I238">
            <v>12.323048428012337</v>
          </cell>
          <cell r="J238">
            <v>190.75450054124454</v>
          </cell>
        </row>
        <row r="239">
          <cell r="B239">
            <v>338.89</v>
          </cell>
          <cell r="C239">
            <v>12.15</v>
          </cell>
          <cell r="D239">
            <v>257.45999999999998</v>
          </cell>
          <cell r="E239">
            <v>-4.3225783736469237E-2</v>
          </cell>
          <cell r="F239">
            <v>-1.5516848690684244E-2</v>
          </cell>
          <cell r="G239">
            <v>-1.0932025820161116E-2</v>
          </cell>
          <cell r="H239">
            <v>331.12672168973967</v>
          </cell>
          <cell r="I239">
            <v>12.331333494575569</v>
          </cell>
          <cell r="J239">
            <v>191.67792427727463</v>
          </cell>
        </row>
        <row r="240">
          <cell r="B240">
            <v>348.7</v>
          </cell>
          <cell r="C240">
            <v>12.19</v>
          </cell>
          <cell r="D240">
            <v>259.88</v>
          </cell>
          <cell r="E240">
            <v>2.8536382733217937E-2</v>
          </cell>
          <cell r="F240">
            <v>3.2867737066227228E-3</v>
          </cell>
          <cell r="G240">
            <v>9.3556177808418479E-3</v>
          </cell>
          <cell r="H240">
            <v>332.69371107871348</v>
          </cell>
          <cell r="I240">
            <v>12.389826366096042</v>
          </cell>
          <cell r="J240">
            <v>187.32887538585192</v>
          </cell>
        </row>
        <row r="241">
          <cell r="B241">
            <v>347.09</v>
          </cell>
          <cell r="C241">
            <v>12.24</v>
          </cell>
          <cell r="D241">
            <v>260.83</v>
          </cell>
          <cell r="E241">
            <v>-4.6278413700546967E-3</v>
          </cell>
          <cell r="F241">
            <v>4.0933335910000096E-3</v>
          </cell>
          <cell r="G241">
            <v>3.6488680994934642E-3</v>
          </cell>
          <cell r="H241">
            <v>326.69106851620029</v>
          </cell>
          <cell r="I241">
            <v>12.81233866887786</v>
          </cell>
          <cell r="J241">
            <v>188.55801062394787</v>
          </cell>
        </row>
        <row r="242">
          <cell r="B242">
            <v>354.56</v>
          </cell>
          <cell r="C242">
            <v>12.11</v>
          </cell>
          <cell r="D242">
            <v>260.81</v>
          </cell>
          <cell r="E242">
            <v>2.1293471807313634E-2</v>
          </cell>
          <cell r="F242">
            <v>-1.0677719519179214E-2</v>
          </cell>
          <cell r="G242">
            <v>-7.6681236139007375E-5</v>
          </cell>
          <cell r="H242">
            <v>327.99237869160834</v>
          </cell>
          <cell r="I242">
            <v>12.954634330660195</v>
          </cell>
          <cell r="J242">
            <v>187.05549589936936</v>
          </cell>
        </row>
        <row r="243">
          <cell r="B243">
            <v>336.71</v>
          </cell>
          <cell r="C243">
            <v>12.04</v>
          </cell>
          <cell r="D243">
            <v>255.76</v>
          </cell>
          <cell r="E243">
            <v>-5.165555836317267E-2</v>
          </cell>
          <cell r="F243">
            <v>-5.7971176843259579E-3</v>
          </cell>
          <cell r="G243">
            <v>-1.9552668124098685E-2</v>
          </cell>
          <cell r="H243">
            <v>327.94524193774697</v>
          </cell>
          <cell r="I243">
            <v>12.660734536643416</v>
          </cell>
          <cell r="J243">
            <v>189.20217196825834</v>
          </cell>
        </row>
        <row r="244">
          <cell r="B244">
            <v>338.31</v>
          </cell>
          <cell r="C244">
            <v>11.67</v>
          </cell>
          <cell r="D244">
            <v>250.12</v>
          </cell>
          <cell r="E244">
            <v>4.7406091566142934E-3</v>
          </cell>
          <cell r="F244">
            <v>-3.1212993582210257E-2</v>
          </cell>
          <cell r="G244">
            <v>-2.2298702052488843E-2</v>
          </cell>
          <cell r="H244">
            <v>327.28624979650959</v>
          </cell>
          <cell r="I244">
            <v>12.431596631055891</v>
          </cell>
          <cell r="J244">
            <v>185.95763887512331</v>
          </cell>
        </row>
        <row r="245">
          <cell r="B245">
            <v>340.23</v>
          </cell>
          <cell r="C245">
            <v>11.71</v>
          </cell>
          <cell r="D245">
            <v>252.82</v>
          </cell>
          <cell r="E245">
            <v>5.6592245830428111E-3</v>
          </cell>
          <cell r="F245">
            <v>3.4217313111615387E-3</v>
          </cell>
          <cell r="G245">
            <v>1.0736970368314249E-2</v>
          </cell>
          <cell r="H245">
            <v>336.26615245801952</v>
          </cell>
          <cell r="I245">
            <v>12.229599918173514</v>
          </cell>
          <cell r="J245">
            <v>188.36375609053377</v>
          </cell>
        </row>
        <row r="246">
          <cell r="B246">
            <v>345.98</v>
          </cell>
          <cell r="C246">
            <v>11.94</v>
          </cell>
          <cell r="D246">
            <v>254.23</v>
          </cell>
          <cell r="E246">
            <v>1.6759110423482486E-2</v>
          </cell>
          <cell r="F246">
            <v>1.9450930354829993E-2</v>
          </cell>
          <cell r="G246">
            <v>5.5615960336526096E-3</v>
          </cell>
          <cell r="H246">
            <v>346.43688453191714</v>
          </cell>
          <cell r="I246">
            <v>12.263531505131219</v>
          </cell>
          <cell r="J246">
            <v>195.2496317954691</v>
          </cell>
        </row>
        <row r="247">
          <cell r="B247">
            <v>339.57</v>
          </cell>
          <cell r="C247">
            <v>11.79</v>
          </cell>
          <cell r="D247">
            <v>249.94</v>
          </cell>
          <cell r="E247">
            <v>-1.8700858606392909E-2</v>
          </cell>
          <cell r="F247">
            <v>-1.2642393415176468E-2</v>
          </cell>
          <cell r="G247">
            <v>-1.7018480043426643E-2</v>
          </cell>
          <cell r="H247">
            <v>351.10200681990176</v>
          </cell>
          <cell r="I247">
            <v>12.708799548588878</v>
          </cell>
          <cell r="J247">
            <v>198.18358348412355</v>
          </cell>
        </row>
        <row r="248">
          <cell r="B248">
            <v>338.79</v>
          </cell>
          <cell r="C248">
            <v>11.64</v>
          </cell>
          <cell r="D248">
            <v>248.96</v>
          </cell>
          <cell r="E248">
            <v>-2.2996649087497463E-3</v>
          </cell>
          <cell r="F248">
            <v>-1.2804272245987628E-2</v>
          </cell>
          <cell r="G248">
            <v>-3.9286480676107884E-3</v>
          </cell>
          <cell r="H248">
            <v>351.65783860882857</v>
          </cell>
          <cell r="I248">
            <v>12.414548286213284</v>
          </cell>
          <cell r="J248">
            <v>196.18460851528781</v>
          </cell>
        </row>
        <row r="249">
          <cell r="B249">
            <v>329.24</v>
          </cell>
          <cell r="C249">
            <v>11.52</v>
          </cell>
          <cell r="D249">
            <v>247.99</v>
          </cell>
          <cell r="E249">
            <v>-2.859347829924536E-2</v>
          </cell>
          <cell r="F249">
            <v>-1.0362787035546659E-2</v>
          </cell>
          <cell r="G249">
            <v>-3.9038182186668519E-3</v>
          </cell>
          <cell r="H249">
            <v>344.55328174313615</v>
          </cell>
          <cell r="I249">
            <v>12.519184653960931</v>
          </cell>
          <cell r="J249">
            <v>192.33774104974884</v>
          </cell>
        </row>
        <row r="250">
          <cell r="B250">
            <v>338.45</v>
          </cell>
          <cell r="C250">
            <v>11.76</v>
          </cell>
          <cell r="D250">
            <v>251.49</v>
          </cell>
          <cell r="E250">
            <v>2.7589402850173337E-2</v>
          </cell>
          <cell r="F250">
            <v>2.061928720273561E-2</v>
          </cell>
          <cell r="G250">
            <v>1.4014804546515736E-2</v>
          </cell>
          <cell r="H250">
            <v>347.89059619569338</v>
          </cell>
          <cell r="I250">
            <v>12.303695177682775</v>
          </cell>
          <cell r="J250">
            <v>189.5390940311303</v>
          </cell>
        </row>
        <row r="251">
          <cell r="B251">
            <v>343.25</v>
          </cell>
          <cell r="C251">
            <v>11.84</v>
          </cell>
          <cell r="D251">
            <v>251.64</v>
          </cell>
          <cell r="E251">
            <v>1.4082673693463874E-2</v>
          </cell>
          <cell r="F251">
            <v>6.7796869853787691E-3</v>
          </cell>
          <cell r="G251">
            <v>5.9626738395318244E-4</v>
          </cell>
          <cell r="H251">
            <v>342.18283141628331</v>
          </cell>
          <cell r="I251">
            <v>12.539208204942458</v>
          </cell>
          <cell r="J251">
            <v>187.66280594769825</v>
          </cell>
        </row>
        <row r="252">
          <cell r="B252">
            <v>347.75</v>
          </cell>
          <cell r="C252">
            <v>11.67</v>
          </cell>
          <cell r="D252">
            <v>252.62</v>
          </cell>
          <cell r="H252">
            <v>340.33042350416912</v>
          </cell>
          <cell r="I252">
            <v>12.725018702566302</v>
          </cell>
          <cell r="J252">
            <v>183.16142738161295</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0"/>
  <sheetViews>
    <sheetView topLeftCell="E6" zoomScale="112" workbookViewId="0">
      <selection activeCell="I256" sqref="I256"/>
    </sheetView>
  </sheetViews>
  <sheetFormatPr baseColWidth="10" defaultColWidth="8.83203125" defaultRowHeight="15" x14ac:dyDescent="0.2"/>
  <cols>
    <col min="1" max="1" width="12.83203125" bestFit="1" customWidth="1"/>
    <col min="2" max="2" width="9.5" bestFit="1" customWidth="1"/>
    <col min="3" max="3" width="7.6640625" bestFit="1" customWidth="1"/>
    <col min="4" max="4" width="10" bestFit="1" customWidth="1"/>
    <col min="5" max="7" width="12.6640625" bestFit="1" customWidth="1"/>
    <col min="8" max="8" width="13" bestFit="1" customWidth="1"/>
    <col min="9" max="9" width="12" bestFit="1" customWidth="1"/>
    <col min="10" max="10" width="10.6640625" bestFit="1" customWidth="1"/>
    <col min="11" max="11" width="12.1640625" bestFit="1" customWidth="1"/>
    <col min="12" max="12" width="13.6640625" bestFit="1" customWidth="1"/>
    <col min="13" max="13" width="12.5" bestFit="1" customWidth="1"/>
  </cols>
  <sheetData>
    <row r="1" spans="1:14" x14ac:dyDescent="0.2">
      <c r="A1" t="s">
        <v>12</v>
      </c>
      <c r="B1" t="s">
        <v>0</v>
      </c>
      <c r="C1" t="s">
        <v>1</v>
      </c>
      <c r="D1" t="s">
        <v>2</v>
      </c>
      <c r="E1" t="s">
        <v>3</v>
      </c>
      <c r="F1" t="s">
        <v>4</v>
      </c>
      <c r="G1" t="s">
        <v>5</v>
      </c>
      <c r="H1" t="s">
        <v>20</v>
      </c>
      <c r="I1" t="s">
        <v>21</v>
      </c>
      <c r="J1" t="s">
        <v>22</v>
      </c>
      <c r="K1" t="s">
        <v>23</v>
      </c>
      <c r="L1" t="s">
        <v>24</v>
      </c>
      <c r="M1" t="s">
        <v>25</v>
      </c>
    </row>
    <row r="2" spans="1:14" x14ac:dyDescent="0.2">
      <c r="A2">
        <v>1</v>
      </c>
      <c r="B2" s="1">
        <v>173.5</v>
      </c>
      <c r="C2" s="1">
        <v>10.3</v>
      </c>
      <c r="D2" s="1">
        <v>221.53</v>
      </c>
      <c r="I2" s="1">
        <v>173.5</v>
      </c>
      <c r="J2" s="1"/>
      <c r="K2" s="1">
        <v>10.3</v>
      </c>
      <c r="M2" s="1">
        <v>221.53</v>
      </c>
      <c r="N2" s="1"/>
    </row>
    <row r="3" spans="1:14" x14ac:dyDescent="0.2">
      <c r="A3">
        <v>2</v>
      </c>
      <c r="B3" s="1">
        <v>168.24</v>
      </c>
      <c r="C3" s="1">
        <v>9.9</v>
      </c>
      <c r="D3" s="1">
        <v>223.85</v>
      </c>
      <c r="E3">
        <f>LN(B3/B2)</f>
        <v>-3.0786067992469517E-2</v>
      </c>
      <c r="F3">
        <f>LN(C3/C2)</f>
        <v>-3.9609138095045827E-2</v>
      </c>
      <c r="G3">
        <f>LN(D3/D2)</f>
        <v>1.041816419239041E-2</v>
      </c>
      <c r="H3">
        <f ca="1">_xlfn.NORM.INV(RAND(),$E$254,$E$255)</f>
        <v>4.9988796344514398E-2</v>
      </c>
      <c r="I3" s="4">
        <f ca="1">I2*EXP(H3)</f>
        <v>182.39349173594871</v>
      </c>
      <c r="J3">
        <f ca="1">_xlfn.NORM.INV(RAND(),$F$254,$F$255)</f>
        <v>1.0301069845123492E-2</v>
      </c>
      <c r="K3" s="4">
        <f ca="1">K2*EXP(J3)</f>
        <v>10.406649377685426</v>
      </c>
      <c r="L3">
        <f ca="1">_xlfn.NORM.INV(RAND(),$G$254,$G$255)</f>
        <v>1.8134797002641308E-2</v>
      </c>
      <c r="M3" s="4">
        <f ca="1">M2*EXP(L3)</f>
        <v>225.58405016407164</v>
      </c>
    </row>
    <row r="4" spans="1:14" x14ac:dyDescent="0.2">
      <c r="A4">
        <v>3</v>
      </c>
      <c r="B4" s="1">
        <v>165.25</v>
      </c>
      <c r="C4" s="1">
        <v>9.7200000000000006</v>
      </c>
      <c r="D4" s="1">
        <v>217.9</v>
      </c>
      <c r="E4">
        <f t="shared" ref="E4:E67" si="0">LN(B4/B3)</f>
        <v>-1.7932052662648686E-2</v>
      </c>
      <c r="F4">
        <f t="shared" ref="F4:F67" si="1">LN(C4/C3)</f>
        <v>-1.8349138668196541E-2</v>
      </c>
      <c r="G4">
        <f t="shared" ref="G4:G67" si="2">LN(D4/D3)</f>
        <v>-2.693994273640031E-2</v>
      </c>
      <c r="H4">
        <f t="shared" ref="H4:H67" ca="1" si="3">_xlfn.NORM.INV(RAND(),$E$254,$E$255)</f>
        <v>-5.8760953240921832E-3</v>
      </c>
      <c r="I4" s="4">
        <f t="shared" ref="I4:I67" ca="1" si="4">I3*EXP(H4)</f>
        <v>181.3248729198435</v>
      </c>
      <c r="J4">
        <f t="shared" ref="J4:J67" ca="1" si="5">_xlfn.NORM.INV(RAND(),$F$254,$F$255)</f>
        <v>-3.1031867932141684E-2</v>
      </c>
      <c r="K4" s="4">
        <f t="shared" ref="K4:K67" ca="1" si="6">K3*EXP(J4)</f>
        <v>10.088670859031607</v>
      </c>
      <c r="L4">
        <f t="shared" ref="L4:L67" ca="1" si="7">_xlfn.NORM.INV(RAND(),$G$254,$G$255)</f>
        <v>-1.6358785298546792E-2</v>
      </c>
      <c r="M4" s="4">
        <f t="shared" ref="M4:M67" ca="1" si="8">M3*EXP(L4)</f>
        <v>221.92378945664191</v>
      </c>
    </row>
    <row r="5" spans="1:14" x14ac:dyDescent="0.2">
      <c r="A5">
        <v>4</v>
      </c>
      <c r="B5" s="1">
        <v>166</v>
      </c>
      <c r="C5" s="1">
        <v>10.029999999999999</v>
      </c>
      <c r="D5" s="1">
        <v>222.13</v>
      </c>
      <c r="E5">
        <f t="shared" si="0"/>
        <v>4.5283096247476099E-3</v>
      </c>
      <c r="F5">
        <f t="shared" si="1"/>
        <v>3.1394983501496235E-2</v>
      </c>
      <c r="G5">
        <f t="shared" si="2"/>
        <v>1.9226554118956955E-2</v>
      </c>
      <c r="H5">
        <f t="shared" ca="1" si="3"/>
        <v>2.440828887882681E-2</v>
      </c>
      <c r="I5" s="4">
        <f t="shared" ca="1" si="4"/>
        <v>185.80515841961977</v>
      </c>
      <c r="J5">
        <f t="shared" ca="1" si="5"/>
        <v>3.9372186665692921E-3</v>
      </c>
      <c r="K5" s="4">
        <f t="shared" ca="1" si="6"/>
        <v>10.128470460712576</v>
      </c>
      <c r="L5">
        <f t="shared" ca="1" si="7"/>
        <v>6.3690881258268491E-3</v>
      </c>
      <c r="M5" s="4">
        <f t="shared" ca="1" si="8"/>
        <v>223.34175240104889</v>
      </c>
    </row>
    <row r="6" spans="1:14" x14ac:dyDescent="0.2">
      <c r="A6">
        <v>5</v>
      </c>
      <c r="B6" s="1">
        <v>168.64</v>
      </c>
      <c r="C6" s="1">
        <v>9.94</v>
      </c>
      <c r="D6" s="1">
        <v>223.19</v>
      </c>
      <c r="E6">
        <f t="shared" si="0"/>
        <v>1.5778476996454231E-2</v>
      </c>
      <c r="F6">
        <f t="shared" si="1"/>
        <v>-9.0135813053615239E-3</v>
      </c>
      <c r="G6">
        <f t="shared" si="2"/>
        <v>4.7606305665627204E-3</v>
      </c>
      <c r="H6">
        <f t="shared" ca="1" si="3"/>
        <v>8.5853394693425292E-3</v>
      </c>
      <c r="I6" s="4">
        <f t="shared" ca="1" si="4"/>
        <v>187.40722608676612</v>
      </c>
      <c r="J6">
        <f t="shared" ca="1" si="5"/>
        <v>-3.3878040365626166E-2</v>
      </c>
      <c r="K6" s="4">
        <f t="shared" ca="1" si="6"/>
        <v>9.7910849772173538</v>
      </c>
      <c r="L6">
        <f t="shared" ca="1" si="7"/>
        <v>2.5740284223795123E-2</v>
      </c>
      <c r="M6" s="4">
        <f t="shared" ca="1" si="8"/>
        <v>229.16526042999212</v>
      </c>
      <c r="N6" s="1"/>
    </row>
    <row r="7" spans="1:14" x14ac:dyDescent="0.2">
      <c r="A7">
        <v>6</v>
      </c>
      <c r="B7" s="1">
        <v>170.39</v>
      </c>
      <c r="C7" s="1">
        <v>10.15</v>
      </c>
      <c r="D7" s="1">
        <v>223.89</v>
      </c>
      <c r="E7">
        <f t="shared" si="0"/>
        <v>1.0323661874150411E-2</v>
      </c>
      <c r="F7">
        <f t="shared" si="1"/>
        <v>2.0906684819313862E-2</v>
      </c>
      <c r="G7">
        <f t="shared" si="2"/>
        <v>3.1314331753118378E-3</v>
      </c>
      <c r="H7">
        <f t="shared" ca="1" si="3"/>
        <v>-2.4783825682327506E-2</v>
      </c>
      <c r="I7" s="4">
        <f t="shared" ca="1" si="4"/>
        <v>182.81964182809182</v>
      </c>
      <c r="J7">
        <f t="shared" ca="1" si="5"/>
        <v>-3.456451685281272E-3</v>
      </c>
      <c r="K7" s="4">
        <f t="shared" ca="1" si="6"/>
        <v>9.7573009850503869</v>
      </c>
      <c r="L7">
        <f t="shared" ca="1" si="7"/>
        <v>2.5122509137583068E-2</v>
      </c>
      <c r="M7" s="4">
        <f t="shared" ca="1" si="8"/>
        <v>234.99539393744587</v>
      </c>
    </row>
    <row r="8" spans="1:14" x14ac:dyDescent="0.2">
      <c r="A8">
        <v>7</v>
      </c>
      <c r="B8" s="1">
        <v>157.38</v>
      </c>
      <c r="C8" s="1">
        <v>9.5399999999999991</v>
      </c>
      <c r="D8" s="1">
        <v>203.19</v>
      </c>
      <c r="E8">
        <f t="shared" si="0"/>
        <v>-7.9426664120310478E-2</v>
      </c>
      <c r="F8">
        <f t="shared" si="1"/>
        <v>-6.1980220027601292E-2</v>
      </c>
      <c r="G8">
        <f t="shared" si="2"/>
        <v>-9.7013357916483689E-2</v>
      </c>
      <c r="H8">
        <f t="shared" ca="1" si="3"/>
        <v>-2.1330109569949983E-2</v>
      </c>
      <c r="I8" s="4">
        <f t="shared" ca="1" si="4"/>
        <v>178.96137375974223</v>
      </c>
      <c r="J8">
        <f t="shared" ca="1" si="5"/>
        <v>8.6905910361394986E-3</v>
      </c>
      <c r="K8" s="4">
        <f t="shared" ca="1" si="6"/>
        <v>9.8424672340237915</v>
      </c>
      <c r="L8">
        <f t="shared" ca="1" si="7"/>
        <v>7.4436663706059416E-4</v>
      </c>
      <c r="M8" s="4">
        <f t="shared" ca="1" si="8"/>
        <v>235.17038178803494</v>
      </c>
    </row>
    <row r="9" spans="1:14" x14ac:dyDescent="0.2">
      <c r="A9">
        <v>8</v>
      </c>
      <c r="B9" s="1">
        <v>146.80000000000001</v>
      </c>
      <c r="C9" s="1">
        <v>9.58</v>
      </c>
      <c r="D9" s="1">
        <v>188.38</v>
      </c>
      <c r="E9">
        <f t="shared" si="0"/>
        <v>-6.9592146926421974E-2</v>
      </c>
      <c r="F9">
        <f t="shared" si="1"/>
        <v>4.1841065225740907E-3</v>
      </c>
      <c r="G9">
        <f t="shared" si="2"/>
        <v>-7.5680302500250957E-2</v>
      </c>
      <c r="H9">
        <f t="shared" ca="1" si="3"/>
        <v>-4.0447667310500356E-4</v>
      </c>
      <c r="I9" s="4">
        <f t="shared" ca="1" si="4"/>
        <v>178.88900269585983</v>
      </c>
      <c r="J9">
        <f t="shared" ca="1" si="5"/>
        <v>9.5804680399591176E-3</v>
      </c>
      <c r="K9" s="4">
        <f t="shared" ca="1" si="6"/>
        <v>9.9372158199834679</v>
      </c>
      <c r="L9">
        <f t="shared" ca="1" si="7"/>
        <v>2.9387050618928635E-2</v>
      </c>
      <c r="M9" s="4">
        <f t="shared" ca="1" si="8"/>
        <v>242.18389419262715</v>
      </c>
    </row>
    <row r="10" spans="1:14" x14ac:dyDescent="0.2">
      <c r="A10">
        <v>9</v>
      </c>
      <c r="B10" s="1">
        <v>146.16999999999999</v>
      </c>
      <c r="C10" s="1">
        <v>9.24</v>
      </c>
      <c r="D10" s="1">
        <v>181.46</v>
      </c>
      <c r="E10">
        <f t="shared" si="0"/>
        <v>-4.3007882792140146E-3</v>
      </c>
      <c r="F10">
        <f t="shared" si="1"/>
        <v>-3.6135706329176322E-2</v>
      </c>
      <c r="G10">
        <f t="shared" si="2"/>
        <v>-3.7425955653188146E-2</v>
      </c>
      <c r="H10">
        <f t="shared" ca="1" si="3"/>
        <v>-1.7109638688643885E-2</v>
      </c>
      <c r="I10" s="4">
        <f t="shared" ca="1" si="4"/>
        <v>175.8543117579589</v>
      </c>
      <c r="J10">
        <f t="shared" ca="1" si="5"/>
        <v>-2.3299410664321174E-2</v>
      </c>
      <c r="K10" s="4">
        <f t="shared" ca="1" si="6"/>
        <v>9.7083609920091387</v>
      </c>
      <c r="L10">
        <f t="shared" ca="1" si="7"/>
        <v>6.0155317580340923E-3</v>
      </c>
      <c r="M10" s="4">
        <f t="shared" ca="1" si="8"/>
        <v>243.64514980771742</v>
      </c>
    </row>
    <row r="11" spans="1:14" x14ac:dyDescent="0.2">
      <c r="A11">
        <v>10</v>
      </c>
      <c r="B11" s="1">
        <v>141.37</v>
      </c>
      <c r="C11" s="1">
        <v>8.69</v>
      </c>
      <c r="D11" s="1">
        <v>172.42</v>
      </c>
      <c r="E11">
        <f t="shared" si="0"/>
        <v>-3.3389761022260045E-2</v>
      </c>
      <c r="F11">
        <f t="shared" si="1"/>
        <v>-6.1368946376292248E-2</v>
      </c>
      <c r="G11">
        <f t="shared" si="2"/>
        <v>-5.1101882959704026E-2</v>
      </c>
      <c r="H11">
        <f t="shared" ca="1" si="3"/>
        <v>2.3354096637427696E-3</v>
      </c>
      <c r="I11" s="4">
        <f t="shared" ca="1" si="4"/>
        <v>176.26548355746399</v>
      </c>
      <c r="J11">
        <f t="shared" ca="1" si="5"/>
        <v>1.8199622544691867E-2</v>
      </c>
      <c r="K11" s="4">
        <f t="shared" ca="1" si="6"/>
        <v>9.8866671281666569</v>
      </c>
      <c r="L11">
        <f t="shared" ca="1" si="7"/>
        <v>2.7596139288168536E-2</v>
      </c>
      <c r="M11" s="4">
        <f t="shared" ca="1" si="8"/>
        <v>250.4624482214447</v>
      </c>
    </row>
    <row r="12" spans="1:14" x14ac:dyDescent="0.2">
      <c r="A12">
        <v>11</v>
      </c>
      <c r="B12" s="1">
        <v>158.75</v>
      </c>
      <c r="C12" s="1">
        <v>9.5</v>
      </c>
      <c r="D12" s="1">
        <v>198.85</v>
      </c>
      <c r="E12">
        <f t="shared" si="0"/>
        <v>0.11595007089385978</v>
      </c>
      <c r="F12">
        <f t="shared" si="1"/>
        <v>8.9118859329194514E-2</v>
      </c>
      <c r="G12">
        <f t="shared" si="2"/>
        <v>0.14261741087192081</v>
      </c>
      <c r="H12">
        <f t="shared" ca="1" si="3"/>
        <v>2.2232402372554996E-2</v>
      </c>
      <c r="I12" s="4">
        <f t="shared" ca="1" si="4"/>
        <v>180.22817557213543</v>
      </c>
      <c r="J12">
        <f t="shared" ca="1" si="5"/>
        <v>-7.2255243276385149E-3</v>
      </c>
      <c r="K12" s="4">
        <f t="shared" ca="1" si="6"/>
        <v>9.8154882363964333</v>
      </c>
      <c r="L12">
        <f t="shared" ca="1" si="7"/>
        <v>1.8735741450354028E-3</v>
      </c>
      <c r="M12" s="4">
        <f t="shared" ca="1" si="8"/>
        <v>250.9321480600733</v>
      </c>
    </row>
    <row r="13" spans="1:14" x14ac:dyDescent="0.2">
      <c r="A13">
        <v>12</v>
      </c>
      <c r="B13" s="1">
        <v>151.13</v>
      </c>
      <c r="C13" s="1">
        <v>9.14</v>
      </c>
      <c r="D13" s="1">
        <v>190.42</v>
      </c>
      <c r="E13">
        <f t="shared" si="0"/>
        <v>-4.9190244190771781E-2</v>
      </c>
      <c r="F13">
        <f t="shared" si="1"/>
        <v>-3.8631413140436451E-2</v>
      </c>
      <c r="G13">
        <f t="shared" si="2"/>
        <v>-4.3318612796154309E-2</v>
      </c>
      <c r="H13">
        <f t="shared" ca="1" si="3"/>
        <v>2.5764080201629989E-2</v>
      </c>
      <c r="I13" s="4">
        <f t="shared" ca="1" si="4"/>
        <v>184.93192240960727</v>
      </c>
      <c r="J13">
        <f t="shared" ca="1" si="5"/>
        <v>-1.7034793882837268E-2</v>
      </c>
      <c r="K13" s="4">
        <f t="shared" ca="1" si="6"/>
        <v>9.6496995148659668</v>
      </c>
      <c r="L13">
        <f t="shared" ca="1" si="7"/>
        <v>-4.7916411381982906E-3</v>
      </c>
      <c r="M13" s="4">
        <f t="shared" ca="1" si="8"/>
        <v>249.73264734005619</v>
      </c>
    </row>
    <row r="14" spans="1:14" x14ac:dyDescent="0.2">
      <c r="A14">
        <v>13</v>
      </c>
      <c r="B14" s="1">
        <v>157.08000000000001</v>
      </c>
      <c r="C14" s="1">
        <v>9.33</v>
      </c>
      <c r="D14" s="1">
        <v>198.15</v>
      </c>
      <c r="E14">
        <f t="shared" si="0"/>
        <v>3.8614836127779731E-2</v>
      </c>
      <c r="F14">
        <f t="shared" si="1"/>
        <v>2.0574629393193728E-2</v>
      </c>
      <c r="G14">
        <f t="shared" si="2"/>
        <v>3.9792160778898779E-2</v>
      </c>
      <c r="H14">
        <f t="shared" ca="1" si="3"/>
        <v>-2.737106927050743E-2</v>
      </c>
      <c r="I14" s="4">
        <f t="shared" ca="1" si="4"/>
        <v>179.93878345135215</v>
      </c>
      <c r="J14">
        <f t="shared" ca="1" si="5"/>
        <v>-1.6144254833265394E-2</v>
      </c>
      <c r="K14" s="4">
        <f t="shared" ca="1" si="6"/>
        <v>9.4951631009345316</v>
      </c>
      <c r="L14">
        <f t="shared" ca="1" si="7"/>
        <v>8.3043750562150596E-3</v>
      </c>
      <c r="M14" s="4">
        <f t="shared" ca="1" si="8"/>
        <v>251.81515590551436</v>
      </c>
    </row>
    <row r="15" spans="1:14" x14ac:dyDescent="0.2">
      <c r="A15">
        <v>14</v>
      </c>
      <c r="B15" s="1">
        <v>155.84</v>
      </c>
      <c r="C15" s="1">
        <v>9.7100000000000009</v>
      </c>
      <c r="D15" s="1">
        <v>202.52</v>
      </c>
      <c r="E15">
        <f t="shared" si="0"/>
        <v>-7.9253898155839542E-3</v>
      </c>
      <c r="F15">
        <f t="shared" si="1"/>
        <v>3.9921267443981265E-2</v>
      </c>
      <c r="G15">
        <f t="shared" si="2"/>
        <v>2.1814327465264516E-2</v>
      </c>
      <c r="H15">
        <f t="shared" ca="1" si="3"/>
        <v>-7.5801129297432393E-2</v>
      </c>
      <c r="I15" s="4">
        <f t="shared" ca="1" si="4"/>
        <v>166.80334969235571</v>
      </c>
      <c r="J15">
        <f t="shared" ca="1" si="5"/>
        <v>-1.5853030463792044E-3</v>
      </c>
      <c r="K15" s="4">
        <f t="shared" ca="1" si="6"/>
        <v>9.4801223151965015</v>
      </c>
      <c r="L15">
        <f t="shared" ca="1" si="7"/>
        <v>-1.5896735727127024E-2</v>
      </c>
      <c r="M15" s="4">
        <f t="shared" ca="1" si="8"/>
        <v>247.84376661554654</v>
      </c>
    </row>
    <row r="16" spans="1:14" x14ac:dyDescent="0.2">
      <c r="A16">
        <v>15</v>
      </c>
      <c r="B16" s="1">
        <v>157.33000000000001</v>
      </c>
      <c r="C16" s="1">
        <v>9.4499999999999993</v>
      </c>
      <c r="D16" s="1">
        <v>202.14</v>
      </c>
      <c r="E16">
        <f t="shared" si="0"/>
        <v>9.515670358107086E-3</v>
      </c>
      <c r="F16">
        <f t="shared" si="1"/>
        <v>-2.7141540797582308E-2</v>
      </c>
      <c r="G16">
        <f t="shared" si="2"/>
        <v>-1.8781204551920384E-3</v>
      </c>
      <c r="H16">
        <f t="shared" ca="1" si="3"/>
        <v>-9.25835884532569E-4</v>
      </c>
      <c r="I16" s="4">
        <f t="shared" ca="1" si="4"/>
        <v>166.64898863308039</v>
      </c>
      <c r="J16">
        <f t="shared" ca="1" si="5"/>
        <v>9.8506848017797938E-4</v>
      </c>
      <c r="K16" s="4">
        <f t="shared" ca="1" si="6"/>
        <v>9.4894654859534224</v>
      </c>
      <c r="L16">
        <f t="shared" ca="1" si="7"/>
        <v>-9.8427465696983244E-3</v>
      </c>
      <c r="M16" s="4">
        <f t="shared" ca="1" si="8"/>
        <v>245.41626944946583</v>
      </c>
    </row>
    <row r="17" spans="1:13" x14ac:dyDescent="0.2">
      <c r="A17">
        <v>16</v>
      </c>
      <c r="B17" s="1">
        <v>151.66999999999999</v>
      </c>
      <c r="C17" s="1">
        <v>9.4</v>
      </c>
      <c r="D17" s="1">
        <v>194.27</v>
      </c>
      <c r="E17">
        <f t="shared" si="0"/>
        <v>-3.6638402189026538E-2</v>
      </c>
      <c r="F17">
        <f t="shared" si="1"/>
        <v>-5.3050522296930061E-3</v>
      </c>
      <c r="G17">
        <f t="shared" si="2"/>
        <v>-3.9711582595827098E-2</v>
      </c>
      <c r="H17">
        <f t="shared" ca="1" si="3"/>
        <v>2.2685302294230398E-2</v>
      </c>
      <c r="I17" s="4">
        <f t="shared" ca="1" si="4"/>
        <v>170.47267811468043</v>
      </c>
      <c r="J17">
        <f t="shared" ca="1" si="5"/>
        <v>-3.6366714628695502E-3</v>
      </c>
      <c r="K17" s="4">
        <f t="shared" ca="1" si="6"/>
        <v>9.455018092514095</v>
      </c>
      <c r="L17">
        <f t="shared" ca="1" si="7"/>
        <v>-5.4865421142589708E-3</v>
      </c>
      <c r="M17" s="4">
        <f t="shared" ca="1" si="8"/>
        <v>244.07346978349364</v>
      </c>
    </row>
    <row r="18" spans="1:13" x14ac:dyDescent="0.2">
      <c r="A18">
        <v>17</v>
      </c>
      <c r="B18" s="1">
        <v>151.74</v>
      </c>
      <c r="C18" s="1">
        <v>9.6300000000000008</v>
      </c>
      <c r="D18" s="1">
        <v>196.98</v>
      </c>
      <c r="E18">
        <f t="shared" si="0"/>
        <v>4.6142184662340029E-4</v>
      </c>
      <c r="F18">
        <f t="shared" si="1"/>
        <v>2.4173536534075984E-2</v>
      </c>
      <c r="G18">
        <f t="shared" si="2"/>
        <v>1.385325669086682E-2</v>
      </c>
      <c r="H18">
        <f t="shared" ca="1" si="3"/>
        <v>-7.1361207157938627E-3</v>
      </c>
      <c r="I18" s="4">
        <f t="shared" ca="1" si="4"/>
        <v>169.26049479228823</v>
      </c>
      <c r="J18">
        <f t="shared" ca="1" si="5"/>
        <v>-2.1356836951411776E-2</v>
      </c>
      <c r="K18" s="4">
        <f t="shared" ca="1" si="6"/>
        <v>9.2552298292239037</v>
      </c>
      <c r="L18">
        <f t="shared" ca="1" si="7"/>
        <v>1.2318288148091409E-2</v>
      </c>
      <c r="M18" s="4">
        <f t="shared" ca="1" si="8"/>
        <v>247.09863126588206</v>
      </c>
    </row>
    <row r="19" spans="1:13" x14ac:dyDescent="0.2">
      <c r="A19">
        <v>18</v>
      </c>
      <c r="B19" s="1">
        <v>147.86000000000001</v>
      </c>
      <c r="C19" s="1">
        <v>9.4700000000000006</v>
      </c>
      <c r="D19" s="1">
        <v>193.16</v>
      </c>
      <c r="E19">
        <f t="shared" si="0"/>
        <v>-2.5902649780974805E-2</v>
      </c>
      <c r="F19">
        <f t="shared" si="1"/>
        <v>-1.6754318612047275E-2</v>
      </c>
      <c r="G19">
        <f t="shared" si="2"/>
        <v>-1.9583339736215177E-2</v>
      </c>
      <c r="H19">
        <f t="shared" ca="1" si="3"/>
        <v>-1.2736203098721177E-2</v>
      </c>
      <c r="I19" s="4">
        <f t="shared" ca="1" si="4"/>
        <v>167.11842860448957</v>
      </c>
      <c r="J19">
        <f t="shared" ca="1" si="5"/>
        <v>1.1621467875983737E-2</v>
      </c>
      <c r="K19" s="4">
        <f t="shared" ca="1" si="6"/>
        <v>9.3634166123553406</v>
      </c>
      <c r="L19">
        <f t="shared" ca="1" si="7"/>
        <v>-5.7546857521171679E-3</v>
      </c>
      <c r="M19" s="4">
        <f t="shared" ca="1" si="8"/>
        <v>245.68073996555407</v>
      </c>
    </row>
    <row r="20" spans="1:13" x14ac:dyDescent="0.2">
      <c r="A20">
        <v>19</v>
      </c>
      <c r="B20" s="1">
        <v>151.4</v>
      </c>
      <c r="C20" s="1">
        <v>9.65</v>
      </c>
      <c r="D20" s="1">
        <v>199.74</v>
      </c>
      <c r="E20">
        <f t="shared" si="0"/>
        <v>2.3659460874394259E-2</v>
      </c>
      <c r="F20">
        <f t="shared" si="1"/>
        <v>1.8829008152907559E-2</v>
      </c>
      <c r="G20">
        <f t="shared" si="2"/>
        <v>3.3497659809647508E-2</v>
      </c>
      <c r="H20">
        <f t="shared" ca="1" si="3"/>
        <v>-1.8321084989450995E-2</v>
      </c>
      <c r="I20" s="4">
        <f t="shared" ca="1" si="4"/>
        <v>164.08451483047037</v>
      </c>
      <c r="J20">
        <f t="shared" ca="1" si="5"/>
        <v>-3.4261357279208079E-2</v>
      </c>
      <c r="K20" s="4">
        <f t="shared" ca="1" si="6"/>
        <v>9.0480466016579477</v>
      </c>
      <c r="L20">
        <f t="shared" ca="1" si="7"/>
        <v>2.2042965372507155E-2</v>
      </c>
      <c r="M20" s="4">
        <f t="shared" ca="1" si="8"/>
        <v>251.15640019036039</v>
      </c>
    </row>
    <row r="21" spans="1:13" x14ac:dyDescent="0.2">
      <c r="A21">
        <v>20</v>
      </c>
      <c r="B21" s="1">
        <v>157.81</v>
      </c>
      <c r="C21" s="1">
        <v>9.7799999999999994</v>
      </c>
      <c r="D21" s="1">
        <v>204.6</v>
      </c>
      <c r="E21">
        <f t="shared" si="0"/>
        <v>4.1466436756692905E-2</v>
      </c>
      <c r="F21">
        <f t="shared" si="1"/>
        <v>1.3381568695831368E-2</v>
      </c>
      <c r="G21">
        <f t="shared" si="2"/>
        <v>2.4040332702537383E-2</v>
      </c>
      <c r="H21">
        <f t="shared" ca="1" si="3"/>
        <v>1.2701941012750968E-2</v>
      </c>
      <c r="I21" s="4">
        <f t="shared" ca="1" si="4"/>
        <v>166.18199952188112</v>
      </c>
      <c r="J21">
        <f t="shared" ca="1" si="5"/>
        <v>-3.5807020492323947E-2</v>
      </c>
      <c r="K21" s="4">
        <f t="shared" ca="1" si="6"/>
        <v>8.7297948382392097</v>
      </c>
      <c r="L21">
        <f t="shared" ca="1" si="7"/>
        <v>-1.7932197315862389E-2</v>
      </c>
      <c r="M21" s="4">
        <f t="shared" ca="1" si="8"/>
        <v>246.69275515828028</v>
      </c>
    </row>
    <row r="22" spans="1:13" x14ac:dyDescent="0.2">
      <c r="A22">
        <v>21</v>
      </c>
      <c r="B22" s="1">
        <v>164.18</v>
      </c>
      <c r="C22" s="1">
        <v>10.06</v>
      </c>
      <c r="D22" s="1">
        <v>208.37</v>
      </c>
      <c r="E22">
        <f t="shared" si="0"/>
        <v>3.9571609160078867E-2</v>
      </c>
      <c r="F22">
        <f t="shared" si="1"/>
        <v>2.8227680624867382E-2</v>
      </c>
      <c r="G22">
        <f t="shared" si="2"/>
        <v>1.8258492064582833E-2</v>
      </c>
      <c r="H22">
        <f t="shared" ca="1" si="3"/>
        <v>3.2025366955228882E-2</v>
      </c>
      <c r="I22" s="4">
        <f t="shared" ca="1" si="4"/>
        <v>171.59017623806025</v>
      </c>
      <c r="J22">
        <f t="shared" ca="1" si="5"/>
        <v>-6.8030996847691493E-3</v>
      </c>
      <c r="K22" s="4">
        <f t="shared" ca="1" si="6"/>
        <v>8.670606733295422</v>
      </c>
      <c r="L22">
        <f t="shared" ca="1" si="7"/>
        <v>-2.1210136799121558E-3</v>
      </c>
      <c r="M22" s="4">
        <f t="shared" ca="1" si="8"/>
        <v>246.17007095597594</v>
      </c>
    </row>
    <row r="23" spans="1:13" x14ac:dyDescent="0.2">
      <c r="A23">
        <v>22</v>
      </c>
      <c r="B23" s="1">
        <v>165.1</v>
      </c>
      <c r="C23" s="1">
        <v>10.039999999999999</v>
      </c>
      <c r="D23" s="1">
        <v>209.28</v>
      </c>
      <c r="E23">
        <f t="shared" si="0"/>
        <v>5.5879640059622177E-3</v>
      </c>
      <c r="F23">
        <f t="shared" si="1"/>
        <v>-1.9900504080101475E-3</v>
      </c>
      <c r="G23">
        <f t="shared" si="2"/>
        <v>4.3577226867250411E-3</v>
      </c>
      <c r="H23">
        <f t="shared" ca="1" si="3"/>
        <v>3.2018435462422584E-2</v>
      </c>
      <c r="I23" s="4">
        <f t="shared" ca="1" si="4"/>
        <v>177.1731269426042</v>
      </c>
      <c r="J23">
        <f t="shared" ca="1" si="5"/>
        <v>2.5672359516168222E-2</v>
      </c>
      <c r="K23" s="4">
        <f t="shared" ca="1" si="6"/>
        <v>8.8960835438323134</v>
      </c>
      <c r="L23">
        <f t="shared" ca="1" si="7"/>
        <v>1.048855097615823E-2</v>
      </c>
      <c r="M23" s="4">
        <f t="shared" ca="1" si="8"/>
        <v>248.76562630666021</v>
      </c>
    </row>
    <row r="24" spans="1:13" x14ac:dyDescent="0.2">
      <c r="A24">
        <v>23</v>
      </c>
      <c r="B24" s="1">
        <v>163.4</v>
      </c>
      <c r="C24" s="1">
        <v>10.02</v>
      </c>
      <c r="D24" s="1">
        <v>210.14</v>
      </c>
      <c r="E24">
        <f t="shared" si="0"/>
        <v>-1.035016850017972E-2</v>
      </c>
      <c r="F24">
        <f t="shared" si="1"/>
        <v>-1.9940186068643953E-3</v>
      </c>
      <c r="G24">
        <f t="shared" si="2"/>
        <v>4.1009069917952523E-3</v>
      </c>
      <c r="H24">
        <f t="shared" ca="1" si="3"/>
        <v>2.9584710042198602E-2</v>
      </c>
      <c r="I24" s="4">
        <f t="shared" ca="1" si="4"/>
        <v>182.49304868316295</v>
      </c>
      <c r="J24">
        <f t="shared" ca="1" si="5"/>
        <v>1.6788493359355283E-2</v>
      </c>
      <c r="K24" s="4">
        <f t="shared" ca="1" si="6"/>
        <v>9.0466961249507563</v>
      </c>
      <c r="L24">
        <f t="shared" ca="1" si="7"/>
        <v>-3.9363077118953274E-3</v>
      </c>
      <c r="M24" s="4">
        <f t="shared" ca="1" si="8"/>
        <v>247.78833297889673</v>
      </c>
    </row>
    <row r="25" spans="1:13" x14ac:dyDescent="0.2">
      <c r="A25">
        <v>24</v>
      </c>
      <c r="B25" s="1">
        <v>164.48</v>
      </c>
      <c r="C25" s="1">
        <v>10.15</v>
      </c>
      <c r="D25" s="1">
        <v>211.21</v>
      </c>
      <c r="E25">
        <f t="shared" si="0"/>
        <v>6.5877998408977057E-3</v>
      </c>
      <c r="F25">
        <f t="shared" si="1"/>
        <v>1.2890609831077609E-2</v>
      </c>
      <c r="G25">
        <f t="shared" si="2"/>
        <v>5.0789239354215587E-3</v>
      </c>
      <c r="H25">
        <f t="shared" ca="1" si="3"/>
        <v>4.2281862209012575E-2</v>
      </c>
      <c r="I25" s="4">
        <f t="shared" ca="1" si="4"/>
        <v>190.37464473840026</v>
      </c>
      <c r="J25">
        <f t="shared" ca="1" si="5"/>
        <v>1.2694255753257229E-2</v>
      </c>
      <c r="K25" s="4">
        <f t="shared" ca="1" si="6"/>
        <v>9.162269204407858</v>
      </c>
      <c r="L25">
        <f t="shared" ca="1" si="7"/>
        <v>3.9889585984454797E-3</v>
      </c>
      <c r="M25" s="4">
        <f t="shared" ca="1" si="8"/>
        <v>248.7787243822381</v>
      </c>
    </row>
    <row r="26" spans="1:13" x14ac:dyDescent="0.2">
      <c r="A26">
        <v>25</v>
      </c>
      <c r="B26" s="1">
        <v>166.69</v>
      </c>
      <c r="C26" s="1">
        <v>10.01</v>
      </c>
      <c r="D26" s="1">
        <v>212.5</v>
      </c>
      <c r="E26">
        <f t="shared" si="0"/>
        <v>1.3346817688196342E-2</v>
      </c>
      <c r="F26">
        <f t="shared" si="1"/>
        <v>-1.388911216066715E-2</v>
      </c>
      <c r="G26">
        <f t="shared" si="2"/>
        <v>6.0890891684208118E-3</v>
      </c>
      <c r="H26">
        <f t="shared" ca="1" si="3"/>
        <v>-4.5903331496126507E-2</v>
      </c>
      <c r="I26" s="4">
        <f t="shared" ca="1" si="4"/>
        <v>181.83335097074388</v>
      </c>
      <c r="J26">
        <f t="shared" ca="1" si="5"/>
        <v>-6.3822605390625748E-3</v>
      </c>
      <c r="K26" s="4">
        <f t="shared" ca="1" si="6"/>
        <v>9.1039794233618796</v>
      </c>
      <c r="L26">
        <f t="shared" ca="1" si="7"/>
        <v>-1.0739288678672311E-2</v>
      </c>
      <c r="M26" s="4">
        <f t="shared" ca="1" si="8"/>
        <v>246.121312739774</v>
      </c>
    </row>
    <row r="27" spans="1:13" x14ac:dyDescent="0.2">
      <c r="A27">
        <v>26</v>
      </c>
      <c r="B27" s="1">
        <v>172.72</v>
      </c>
      <c r="C27" s="1">
        <v>10.18</v>
      </c>
      <c r="D27" s="1">
        <v>213.32</v>
      </c>
      <c r="E27">
        <f t="shared" si="0"/>
        <v>3.5535986251555393E-2</v>
      </c>
      <c r="F27">
        <f t="shared" si="1"/>
        <v>1.6840417795247448E-2</v>
      </c>
      <c r="G27">
        <f t="shared" si="2"/>
        <v>3.8513973679298731E-3</v>
      </c>
      <c r="H27">
        <f t="shared" ca="1" si="3"/>
        <v>1.9285347653591588E-2</v>
      </c>
      <c r="I27" s="4">
        <f t="shared" ca="1" si="4"/>
        <v>185.37410293513341</v>
      </c>
      <c r="J27">
        <f t="shared" ca="1" si="5"/>
        <v>6.4217860873811636E-3</v>
      </c>
      <c r="K27" s="4">
        <f t="shared" ca="1" si="6"/>
        <v>9.1626313552790641</v>
      </c>
      <c r="L27">
        <f t="shared" ca="1" si="7"/>
        <v>-2.8725439567803802E-3</v>
      </c>
      <c r="M27" s="4">
        <f t="shared" ca="1" si="8"/>
        <v>245.41533291471836</v>
      </c>
    </row>
    <row r="28" spans="1:13" x14ac:dyDescent="0.2">
      <c r="A28">
        <v>27</v>
      </c>
      <c r="B28" s="1">
        <v>179.28</v>
      </c>
      <c r="C28" s="1">
        <v>10.28</v>
      </c>
      <c r="D28" s="1">
        <v>205.35</v>
      </c>
      <c r="E28">
        <f t="shared" si="0"/>
        <v>3.7277043286119617E-2</v>
      </c>
      <c r="F28">
        <f t="shared" si="1"/>
        <v>9.7752489046422468E-3</v>
      </c>
      <c r="G28">
        <f t="shared" si="2"/>
        <v>-3.8077545329833914E-2</v>
      </c>
      <c r="H28">
        <f t="shared" ca="1" si="3"/>
        <v>-1.407860692107128E-2</v>
      </c>
      <c r="I28" s="4">
        <f t="shared" ca="1" si="4"/>
        <v>182.78257913376888</v>
      </c>
      <c r="J28">
        <f t="shared" ca="1" si="5"/>
        <v>1.1180697890812233E-2</v>
      </c>
      <c r="K28" s="4">
        <f t="shared" ca="1" si="6"/>
        <v>9.2656508098607926</v>
      </c>
      <c r="L28">
        <f t="shared" ca="1" si="7"/>
        <v>6.2690232173162426E-3</v>
      </c>
      <c r="M28" s="4">
        <f t="shared" ca="1" si="8"/>
        <v>246.95867991920588</v>
      </c>
    </row>
    <row r="29" spans="1:13" x14ac:dyDescent="0.2">
      <c r="A29">
        <v>28</v>
      </c>
      <c r="B29" s="1">
        <v>176.4</v>
      </c>
      <c r="C29" s="1">
        <v>10.17</v>
      </c>
      <c r="D29" s="1">
        <v>198.89</v>
      </c>
      <c r="E29">
        <f t="shared" si="0"/>
        <v>-1.6194685919980606E-2</v>
      </c>
      <c r="F29">
        <f t="shared" si="1"/>
        <v>-1.0758049966550427E-2</v>
      </c>
      <c r="G29">
        <f t="shared" si="2"/>
        <v>-3.19639323274125E-2</v>
      </c>
      <c r="H29">
        <f t="shared" ca="1" si="3"/>
        <v>-6.7323907494033618E-3</v>
      </c>
      <c r="I29" s="4">
        <f t="shared" ca="1" si="4"/>
        <v>181.55614842656678</v>
      </c>
      <c r="J29">
        <f t="shared" ca="1" si="5"/>
        <v>-3.0673796707535599E-2</v>
      </c>
      <c r="K29" s="4">
        <f t="shared" ca="1" si="6"/>
        <v>8.9857528329428558</v>
      </c>
      <c r="L29">
        <f t="shared" ca="1" si="7"/>
        <v>2.3406126212758217E-2</v>
      </c>
      <c r="M29" s="4">
        <f t="shared" ca="1" si="8"/>
        <v>252.80720459863784</v>
      </c>
    </row>
    <row r="30" spans="1:13" x14ac:dyDescent="0.2">
      <c r="A30">
        <v>29</v>
      </c>
      <c r="B30" s="1">
        <v>172.28</v>
      </c>
      <c r="C30" s="1">
        <v>10.44</v>
      </c>
      <c r="D30" s="1">
        <v>198.51</v>
      </c>
      <c r="E30">
        <f t="shared" si="0"/>
        <v>-2.3633083386781092E-2</v>
      </c>
      <c r="F30">
        <f t="shared" si="1"/>
        <v>2.6202372394024117E-2</v>
      </c>
      <c r="G30">
        <f t="shared" si="2"/>
        <v>-1.9124313830772783E-3</v>
      </c>
      <c r="H30">
        <f t="shared" ca="1" si="3"/>
        <v>2.1556945358841596E-2</v>
      </c>
      <c r="I30" s="4">
        <f t="shared" ca="1" si="4"/>
        <v>185.51243390612058</v>
      </c>
      <c r="J30">
        <f t="shared" ca="1" si="5"/>
        <v>1.9786312493676926E-2</v>
      </c>
      <c r="K30" s="4">
        <f t="shared" ca="1" si="6"/>
        <v>9.1653183580230397</v>
      </c>
      <c r="L30">
        <f t="shared" ca="1" si="7"/>
        <v>1.3161195381943583E-2</v>
      </c>
      <c r="M30" s="4">
        <f t="shared" ca="1" si="8"/>
        <v>256.1564412459997</v>
      </c>
    </row>
    <row r="31" spans="1:13" x14ac:dyDescent="0.2">
      <c r="A31">
        <v>30</v>
      </c>
      <c r="B31" s="1">
        <v>174.54</v>
      </c>
      <c r="C31" s="1">
        <v>10.28</v>
      </c>
      <c r="D31" s="1">
        <v>196.25</v>
      </c>
      <c r="E31">
        <f t="shared" si="0"/>
        <v>1.3032881549255334E-2</v>
      </c>
      <c r="F31">
        <f t="shared" si="1"/>
        <v>-1.5444322427473631E-2</v>
      </c>
      <c r="G31">
        <f t="shared" si="2"/>
        <v>-1.1450120029559962E-2</v>
      </c>
      <c r="H31">
        <f t="shared" ca="1" si="3"/>
        <v>3.6775097276406744E-2</v>
      </c>
      <c r="I31" s="4">
        <f t="shared" ca="1" si="4"/>
        <v>192.46166792193893</v>
      </c>
      <c r="J31">
        <f t="shared" ca="1" si="5"/>
        <v>-8.5326302667208288E-3</v>
      </c>
      <c r="K31" s="4">
        <f t="shared" ca="1" si="6"/>
        <v>9.0874467823368708</v>
      </c>
      <c r="L31">
        <f t="shared" ca="1" si="7"/>
        <v>-4.2582245878299389E-2</v>
      </c>
      <c r="M31" s="4">
        <f t="shared" ca="1" si="8"/>
        <v>245.47770061257739</v>
      </c>
    </row>
    <row r="32" spans="1:13" x14ac:dyDescent="0.2">
      <c r="A32">
        <v>31</v>
      </c>
      <c r="B32" s="1">
        <v>175.22</v>
      </c>
      <c r="C32" s="1">
        <v>10.28</v>
      </c>
      <c r="D32" s="1">
        <v>197.49</v>
      </c>
      <c r="E32">
        <f t="shared" si="0"/>
        <v>3.8883855030525999E-3</v>
      </c>
      <c r="F32">
        <f t="shared" si="1"/>
        <v>0</v>
      </c>
      <c r="G32">
        <f t="shared" si="2"/>
        <v>6.298593485377273E-3</v>
      </c>
      <c r="H32">
        <f t="shared" ca="1" si="3"/>
        <v>5.680400817875038E-3</v>
      </c>
      <c r="I32" s="4">
        <f t="shared" ca="1" si="4"/>
        <v>193.55803830136958</v>
      </c>
      <c r="J32">
        <f t="shared" ca="1" si="5"/>
        <v>7.8831152786286128E-3</v>
      </c>
      <c r="K32" s="4">
        <f t="shared" ca="1" si="6"/>
        <v>9.1593672792455116</v>
      </c>
      <c r="L32">
        <f t="shared" ca="1" si="7"/>
        <v>5.672425672184081E-3</v>
      </c>
      <c r="M32" s="4">
        <f t="shared" ca="1" si="8"/>
        <v>246.87411139738441</v>
      </c>
    </row>
    <row r="33" spans="1:13" x14ac:dyDescent="0.2">
      <c r="A33">
        <v>32</v>
      </c>
      <c r="B33" s="1">
        <v>176.52</v>
      </c>
      <c r="C33" s="1">
        <v>10.43</v>
      </c>
      <c r="D33" s="1">
        <v>198.53</v>
      </c>
      <c r="E33">
        <f t="shared" si="0"/>
        <v>7.3918571631288186E-3</v>
      </c>
      <c r="F33">
        <f t="shared" si="1"/>
        <v>1.4486008985661977E-2</v>
      </c>
      <c r="G33">
        <f t="shared" si="2"/>
        <v>5.2522720610924155E-3</v>
      </c>
      <c r="H33">
        <f t="shared" ca="1" si="3"/>
        <v>9.8766926308584864E-3</v>
      </c>
      <c r="I33" s="4">
        <f t="shared" ca="1" si="4"/>
        <v>195.47922341185813</v>
      </c>
      <c r="J33">
        <f t="shared" ca="1" si="5"/>
        <v>-1.9412778990703813E-2</v>
      </c>
      <c r="K33" s="4">
        <f t="shared" ca="1" si="6"/>
        <v>8.9832732737030625</v>
      </c>
      <c r="L33">
        <f t="shared" ca="1" si="7"/>
        <v>-1.9788449211893713E-3</v>
      </c>
      <c r="M33" s="4">
        <f t="shared" ca="1" si="8"/>
        <v>246.38606885538286</v>
      </c>
    </row>
    <row r="34" spans="1:13" x14ac:dyDescent="0.2">
      <c r="A34">
        <v>33</v>
      </c>
      <c r="B34" s="1">
        <v>186.98</v>
      </c>
      <c r="C34" s="1">
        <v>10.55</v>
      </c>
      <c r="D34" s="1">
        <v>210.79</v>
      </c>
      <c r="E34">
        <f t="shared" si="0"/>
        <v>5.7567474861822981E-2</v>
      </c>
      <c r="F34">
        <f t="shared" si="1"/>
        <v>1.1439590909394596E-2</v>
      </c>
      <c r="G34">
        <f t="shared" si="2"/>
        <v>5.9922155002815725E-2</v>
      </c>
      <c r="H34">
        <f t="shared" ca="1" si="3"/>
        <v>-2.3300168748365428E-2</v>
      </c>
      <c r="I34" s="4">
        <f t="shared" ca="1" si="4"/>
        <v>190.97717741272874</v>
      </c>
      <c r="J34">
        <f t="shared" ca="1" si="5"/>
        <v>-5.8799420692677079E-3</v>
      </c>
      <c r="K34" s="4">
        <f t="shared" ca="1" si="6"/>
        <v>8.9306071359194767</v>
      </c>
      <c r="L34">
        <f t="shared" ca="1" si="7"/>
        <v>-4.0246750305620693E-2</v>
      </c>
      <c r="M34" s="4">
        <f t="shared" ca="1" si="8"/>
        <v>236.6667281176118</v>
      </c>
    </row>
    <row r="35" spans="1:13" x14ac:dyDescent="0.2">
      <c r="A35">
        <v>34</v>
      </c>
      <c r="B35" s="1">
        <v>193.99</v>
      </c>
      <c r="C35" s="1">
        <v>10.6</v>
      </c>
      <c r="D35" s="1">
        <v>212.93</v>
      </c>
      <c r="E35">
        <f t="shared" si="0"/>
        <v>3.6804952079845084E-2</v>
      </c>
      <c r="F35">
        <f t="shared" si="1"/>
        <v>4.7281411959458957E-3</v>
      </c>
      <c r="G35">
        <f t="shared" si="2"/>
        <v>1.0101095986503919E-2</v>
      </c>
      <c r="H35">
        <f t="shared" ca="1" si="3"/>
        <v>-2.8957531813136352E-4</v>
      </c>
      <c r="I35" s="4">
        <f t="shared" ca="1" si="4"/>
        <v>190.921883142138</v>
      </c>
      <c r="J35">
        <f t="shared" ca="1" si="5"/>
        <v>1.5755556776851531E-2</v>
      </c>
      <c r="K35" s="4">
        <f t="shared" ca="1" si="6"/>
        <v>9.072428124255504</v>
      </c>
      <c r="L35">
        <f t="shared" ca="1" si="7"/>
        <v>-1.1394081759027359E-2</v>
      </c>
      <c r="M35" s="4">
        <f t="shared" ca="1" si="8"/>
        <v>233.98543252661625</v>
      </c>
    </row>
    <row r="36" spans="1:13" x14ac:dyDescent="0.2">
      <c r="A36">
        <v>35</v>
      </c>
      <c r="B36" s="1">
        <v>194.76</v>
      </c>
      <c r="C36" s="1">
        <v>10.65</v>
      </c>
      <c r="D36" s="1">
        <v>212.33</v>
      </c>
      <c r="E36">
        <f t="shared" si="0"/>
        <v>3.9614199714854111E-3</v>
      </c>
      <c r="F36">
        <f t="shared" si="1"/>
        <v>4.7058910374127138E-3</v>
      </c>
      <c r="G36">
        <f t="shared" si="2"/>
        <v>-2.8218050046047607E-3</v>
      </c>
      <c r="H36">
        <f t="shared" ca="1" si="3"/>
        <v>-2.1885383694887104E-2</v>
      </c>
      <c r="I36" s="4">
        <f t="shared" ca="1" si="4"/>
        <v>186.7888756652834</v>
      </c>
      <c r="J36">
        <f t="shared" ca="1" si="5"/>
        <v>-1.3779672384865788E-2</v>
      </c>
      <c r="K36" s="4">
        <f t="shared" ca="1" si="6"/>
        <v>8.9482704277349701</v>
      </c>
      <c r="L36">
        <f t="shared" ca="1" si="7"/>
        <v>-1.9525552610232599E-2</v>
      </c>
      <c r="M36" s="4">
        <f t="shared" ca="1" si="8"/>
        <v>229.46105191103413</v>
      </c>
    </row>
    <row r="37" spans="1:13" x14ac:dyDescent="0.2">
      <c r="A37">
        <v>36</v>
      </c>
      <c r="B37" s="1">
        <v>194.22</v>
      </c>
      <c r="C37" s="1">
        <v>10.75</v>
      </c>
      <c r="D37" s="1">
        <v>211.45</v>
      </c>
      <c r="E37">
        <f t="shared" si="0"/>
        <v>-2.7764941482920952E-3</v>
      </c>
      <c r="F37">
        <f t="shared" si="1"/>
        <v>9.345862418237599E-3</v>
      </c>
      <c r="G37">
        <f t="shared" si="2"/>
        <v>-4.1531042752048983E-3</v>
      </c>
      <c r="H37">
        <f t="shared" ca="1" si="3"/>
        <v>4.5042523568256596E-2</v>
      </c>
      <c r="I37" s="4">
        <f t="shared" ca="1" si="4"/>
        <v>195.39467656911879</v>
      </c>
      <c r="J37">
        <f t="shared" ca="1" si="5"/>
        <v>7.2699516595945883E-3</v>
      </c>
      <c r="K37" s="4">
        <f t="shared" ca="1" si="6"/>
        <v>9.0135609631375857</v>
      </c>
      <c r="L37">
        <f t="shared" ca="1" si="7"/>
        <v>-5.1510284442575797E-3</v>
      </c>
      <c r="M37" s="4">
        <f t="shared" ca="1" si="8"/>
        <v>228.28213044150439</v>
      </c>
    </row>
    <row r="38" spans="1:13" x14ac:dyDescent="0.2">
      <c r="A38">
        <v>37</v>
      </c>
      <c r="B38" s="1">
        <v>194.22</v>
      </c>
      <c r="C38" s="1">
        <v>10.8</v>
      </c>
      <c r="D38" s="1">
        <v>211.26</v>
      </c>
      <c r="E38">
        <f t="shared" si="0"/>
        <v>0</v>
      </c>
      <c r="F38">
        <f t="shared" si="1"/>
        <v>4.6403795565023009E-3</v>
      </c>
      <c r="G38">
        <f t="shared" si="2"/>
        <v>-8.9896152348143657E-4</v>
      </c>
      <c r="H38">
        <f t="shared" ca="1" si="3"/>
        <v>2.163481450285153E-2</v>
      </c>
      <c r="I38" s="4">
        <f t="shared" ca="1" si="4"/>
        <v>199.66806444448241</v>
      </c>
      <c r="J38">
        <f t="shared" ca="1" si="5"/>
        <v>-2.7318037694305151E-2</v>
      </c>
      <c r="K38" s="4">
        <f t="shared" ca="1" si="6"/>
        <v>8.7706610452042195</v>
      </c>
      <c r="L38">
        <f t="shared" ca="1" si="7"/>
        <v>3.8654650494765741E-2</v>
      </c>
      <c r="M38" s="4">
        <f t="shared" ca="1" si="8"/>
        <v>237.27906281957959</v>
      </c>
    </row>
    <row r="39" spans="1:13" x14ac:dyDescent="0.2">
      <c r="A39">
        <v>38</v>
      </c>
      <c r="B39" s="1">
        <v>193.5</v>
      </c>
      <c r="C39" s="1">
        <v>10.75</v>
      </c>
      <c r="D39" s="1">
        <v>208.78</v>
      </c>
      <c r="E39">
        <f t="shared" si="0"/>
        <v>-3.7140246963714815E-3</v>
      </c>
      <c r="F39">
        <f t="shared" si="1"/>
        <v>-4.6403795565022254E-3</v>
      </c>
      <c r="G39">
        <f t="shared" si="2"/>
        <v>-1.1808536414863721E-2</v>
      </c>
      <c r="H39">
        <f t="shared" ca="1" si="3"/>
        <v>-9.3580826512580477E-3</v>
      </c>
      <c r="I39" s="4">
        <f t="shared" ca="1" si="4"/>
        <v>197.80826982289241</v>
      </c>
      <c r="J39">
        <f t="shared" ca="1" si="5"/>
        <v>1.138730955564049E-2</v>
      </c>
      <c r="K39" s="4">
        <f t="shared" ca="1" si="6"/>
        <v>8.8711060915546813</v>
      </c>
      <c r="L39">
        <f t="shared" ca="1" si="7"/>
        <v>-1.5072237674527983E-2</v>
      </c>
      <c r="M39" s="4">
        <f t="shared" ca="1" si="8"/>
        <v>233.72955311215972</v>
      </c>
    </row>
    <row r="40" spans="1:13" x14ac:dyDescent="0.2">
      <c r="A40">
        <v>39</v>
      </c>
      <c r="B40" s="1">
        <v>193.45</v>
      </c>
      <c r="C40" s="1">
        <v>10.72</v>
      </c>
      <c r="D40" s="1">
        <v>206.86</v>
      </c>
      <c r="E40">
        <f t="shared" si="0"/>
        <v>-2.5843132331455714E-4</v>
      </c>
      <c r="F40">
        <f t="shared" si="1"/>
        <v>-2.7945989310158002E-3</v>
      </c>
      <c r="G40">
        <f t="shared" si="2"/>
        <v>-9.2388300304947473E-3</v>
      </c>
      <c r="H40">
        <f t="shared" ca="1" si="3"/>
        <v>5.5909099052241906E-3</v>
      </c>
      <c r="I40" s="4">
        <f t="shared" ca="1" si="4"/>
        <v>198.91729538011649</v>
      </c>
      <c r="J40">
        <f t="shared" ca="1" si="5"/>
        <v>-9.9780011749878578E-3</v>
      </c>
      <c r="K40" s="4">
        <f t="shared" ca="1" si="6"/>
        <v>8.7830303253368971</v>
      </c>
      <c r="L40">
        <f t="shared" ca="1" si="7"/>
        <v>4.5678241743395125E-2</v>
      </c>
      <c r="M40" s="4">
        <f t="shared" ca="1" si="8"/>
        <v>244.65350219815502</v>
      </c>
    </row>
    <row r="41" spans="1:13" x14ac:dyDescent="0.2">
      <c r="A41">
        <v>40</v>
      </c>
      <c r="B41" s="1">
        <v>191.76</v>
      </c>
      <c r="C41" s="1">
        <v>10.48</v>
      </c>
      <c r="D41" s="1">
        <v>202.09</v>
      </c>
      <c r="E41">
        <f t="shared" si="0"/>
        <v>-8.7744910203930784E-3</v>
      </c>
      <c r="F41">
        <f t="shared" si="1"/>
        <v>-2.2642476749759891E-2</v>
      </c>
      <c r="G41">
        <f t="shared" si="2"/>
        <v>-2.3329093219500632E-2</v>
      </c>
      <c r="H41">
        <f t="shared" ca="1" si="3"/>
        <v>-2.2060254900786565E-2</v>
      </c>
      <c r="I41" s="4">
        <f t="shared" ca="1" si="4"/>
        <v>194.57717720666</v>
      </c>
      <c r="J41">
        <f t="shared" ca="1" si="5"/>
        <v>4.1562822026572424E-2</v>
      </c>
      <c r="K41" s="4">
        <f t="shared" ca="1" si="6"/>
        <v>9.1557702568344279</v>
      </c>
      <c r="L41">
        <f t="shared" ca="1" si="7"/>
        <v>-1.0530188420427477E-2</v>
      </c>
      <c r="M41" s="4">
        <f t="shared" ca="1" si="8"/>
        <v>242.09077142189167</v>
      </c>
    </row>
    <row r="42" spans="1:13" x14ac:dyDescent="0.2">
      <c r="A42">
        <v>41</v>
      </c>
      <c r="B42" s="1">
        <v>196.19</v>
      </c>
      <c r="C42" s="1">
        <v>10.44</v>
      </c>
      <c r="D42" s="1">
        <v>201.36</v>
      </c>
      <c r="E42">
        <f t="shared" si="0"/>
        <v>2.2838987306608521E-2</v>
      </c>
      <c r="F42">
        <f t="shared" si="1"/>
        <v>-3.8240964384035057E-3</v>
      </c>
      <c r="G42">
        <f t="shared" si="2"/>
        <v>-3.6187919030965495E-3</v>
      </c>
      <c r="H42">
        <f t="shared" ca="1" si="3"/>
        <v>2.2073308894799165E-2</v>
      </c>
      <c r="I42" s="4">
        <f t="shared" ca="1" si="4"/>
        <v>198.91989206224787</v>
      </c>
      <c r="J42">
        <f t="shared" ca="1" si="5"/>
        <v>5.4448307578293571E-4</v>
      </c>
      <c r="K42" s="4">
        <f t="shared" ca="1" si="6"/>
        <v>9.1607567761995377</v>
      </c>
      <c r="L42">
        <f t="shared" ca="1" si="7"/>
        <v>-1.3313720577085835E-3</v>
      </c>
      <c r="M42" s="4">
        <f t="shared" ca="1" si="8"/>
        <v>241.76867299739055</v>
      </c>
    </row>
    <row r="43" spans="1:13" x14ac:dyDescent="0.2">
      <c r="A43">
        <v>42</v>
      </c>
      <c r="B43" s="1">
        <v>191.98</v>
      </c>
      <c r="C43" s="1">
        <v>10.36</v>
      </c>
      <c r="D43" s="1">
        <v>195.27</v>
      </c>
      <c r="E43">
        <f t="shared" si="0"/>
        <v>-2.1692377497346631E-2</v>
      </c>
      <c r="F43">
        <f t="shared" si="1"/>
        <v>-7.6923456231556137E-3</v>
      </c>
      <c r="G43">
        <f t="shared" si="2"/>
        <v>-3.0711134574654807E-2</v>
      </c>
      <c r="H43">
        <f t="shared" ca="1" si="3"/>
        <v>2.982964642850941E-2</v>
      </c>
      <c r="I43" s="4">
        <f t="shared" ca="1" si="4"/>
        <v>204.94298892504577</v>
      </c>
      <c r="J43">
        <f t="shared" ca="1" si="5"/>
        <v>-2.5135411558113822E-3</v>
      </c>
      <c r="K43" s="4">
        <f t="shared" ca="1" si="6"/>
        <v>9.1377597511164055</v>
      </c>
      <c r="L43">
        <f t="shared" ca="1" si="7"/>
        <v>-1.0730161171789713E-2</v>
      </c>
      <c r="M43" s="4">
        <f t="shared" ca="1" si="8"/>
        <v>239.18832470398405</v>
      </c>
    </row>
    <row r="44" spans="1:13" x14ac:dyDescent="0.2">
      <c r="A44">
        <v>43</v>
      </c>
      <c r="B44" s="1">
        <v>197.68</v>
      </c>
      <c r="C44" s="1">
        <v>10.31</v>
      </c>
      <c r="D44" s="1">
        <v>200.21</v>
      </c>
      <c r="E44">
        <f t="shared" si="0"/>
        <v>2.9258361744963893E-2</v>
      </c>
      <c r="F44">
        <f t="shared" si="1"/>
        <v>-4.8379388024683773E-3</v>
      </c>
      <c r="G44">
        <f t="shared" si="2"/>
        <v>2.4983599431202347E-2</v>
      </c>
      <c r="H44">
        <f t="shared" ca="1" si="3"/>
        <v>5.5406206804705545E-3</v>
      </c>
      <c r="I44" s="4">
        <f t="shared" ca="1" si="4"/>
        <v>206.08165182447235</v>
      </c>
      <c r="J44">
        <f t="shared" ca="1" si="5"/>
        <v>-3.8335106607760849E-2</v>
      </c>
      <c r="K44" s="4">
        <f t="shared" ca="1" si="6"/>
        <v>8.7940921109510999</v>
      </c>
      <c r="L44">
        <f t="shared" ca="1" si="7"/>
        <v>4.4212737131508004E-3</v>
      </c>
      <c r="M44" s="4">
        <f t="shared" ca="1" si="8"/>
        <v>240.24818299180549</v>
      </c>
    </row>
    <row r="45" spans="1:13" x14ac:dyDescent="0.2">
      <c r="A45">
        <v>44</v>
      </c>
      <c r="B45" s="1">
        <v>196.14</v>
      </c>
      <c r="C45" s="1">
        <v>10.17</v>
      </c>
      <c r="D45" s="1">
        <v>200.42</v>
      </c>
      <c r="E45">
        <f t="shared" si="0"/>
        <v>-7.8208717161804935E-3</v>
      </c>
      <c r="F45">
        <f t="shared" si="1"/>
        <v>-1.3672087968400063E-2</v>
      </c>
      <c r="G45">
        <f t="shared" si="2"/>
        <v>1.0483489465745394E-3</v>
      </c>
      <c r="H45">
        <f t="shared" ca="1" si="3"/>
        <v>-7.3489478240833066E-3</v>
      </c>
      <c r="I45" s="4">
        <f t="shared" ca="1" si="4"/>
        <v>204.57271983999772</v>
      </c>
      <c r="J45">
        <f t="shared" ca="1" si="5"/>
        <v>1.2500653413198049E-2</v>
      </c>
      <c r="K45" s="4">
        <f t="shared" ca="1" si="6"/>
        <v>8.9047139908683199</v>
      </c>
      <c r="L45">
        <f t="shared" ca="1" si="7"/>
        <v>-7.25904489738953E-3</v>
      </c>
      <c r="M45" s="4">
        <f t="shared" ca="1" si="8"/>
        <v>238.51052514342041</v>
      </c>
    </row>
    <row r="46" spans="1:13" x14ac:dyDescent="0.2">
      <c r="A46">
        <v>45</v>
      </c>
      <c r="B46" s="1">
        <v>197.15</v>
      </c>
      <c r="C46" s="1">
        <v>10.220000000000001</v>
      </c>
      <c r="D46" s="1">
        <v>199.95</v>
      </c>
      <c r="E46">
        <f t="shared" si="0"/>
        <v>5.1361703594619635E-3</v>
      </c>
      <c r="F46">
        <f t="shared" si="1"/>
        <v>4.9043747150898983E-3</v>
      </c>
      <c r="G46">
        <f t="shared" si="2"/>
        <v>-2.3478293373554809E-3</v>
      </c>
      <c r="H46">
        <f t="shared" ca="1" si="3"/>
        <v>-2.811168059930814E-4</v>
      </c>
      <c r="I46" s="4">
        <f t="shared" ca="1" si="4"/>
        <v>204.51521909299481</v>
      </c>
      <c r="J46">
        <f t="shared" ca="1" si="5"/>
        <v>4.9610207616193301E-3</v>
      </c>
      <c r="K46" s="4">
        <f t="shared" ca="1" si="6"/>
        <v>8.9490002234830097</v>
      </c>
      <c r="L46">
        <f t="shared" ca="1" si="7"/>
        <v>-1.9344376884006861E-3</v>
      </c>
      <c r="M46" s="4">
        <f t="shared" ca="1" si="8"/>
        <v>238.04958736594477</v>
      </c>
    </row>
    <row r="47" spans="1:13" x14ac:dyDescent="0.2">
      <c r="A47">
        <v>46</v>
      </c>
      <c r="B47" s="1">
        <v>193.32</v>
      </c>
      <c r="C47" s="1">
        <v>10.38</v>
      </c>
      <c r="D47" s="1">
        <v>200.85</v>
      </c>
      <c r="E47">
        <f t="shared" si="0"/>
        <v>-1.9618013346752925E-2</v>
      </c>
      <c r="F47">
        <f t="shared" si="1"/>
        <v>1.5534292962184204E-2</v>
      </c>
      <c r="G47">
        <f t="shared" si="2"/>
        <v>4.4910255124638023E-3</v>
      </c>
      <c r="H47">
        <f t="shared" ca="1" si="3"/>
        <v>4.8941698374988747E-2</v>
      </c>
      <c r="I47" s="4">
        <f t="shared" ca="1" si="4"/>
        <v>214.77352311708836</v>
      </c>
      <c r="J47">
        <f t="shared" ca="1" si="5"/>
        <v>-1.1146236321892256E-2</v>
      </c>
      <c r="K47" s="4">
        <f t="shared" ca="1" si="6"/>
        <v>8.8498063980303954</v>
      </c>
      <c r="L47">
        <f t="shared" ca="1" si="7"/>
        <v>-1.9862086700280477E-2</v>
      </c>
      <c r="M47" s="4">
        <f t="shared" ca="1" si="8"/>
        <v>233.36807205894897</v>
      </c>
    </row>
    <row r="48" spans="1:13" x14ac:dyDescent="0.2">
      <c r="A48">
        <v>47</v>
      </c>
      <c r="B48" s="1">
        <v>194.84</v>
      </c>
      <c r="C48" s="1">
        <v>9.98</v>
      </c>
      <c r="D48" s="1">
        <v>201.7</v>
      </c>
      <c r="E48">
        <f t="shared" si="0"/>
        <v>7.8318619614586183E-3</v>
      </c>
      <c r="F48">
        <f t="shared" si="1"/>
        <v>-3.929778741436999E-2</v>
      </c>
      <c r="G48">
        <f t="shared" si="2"/>
        <v>4.2230841548747573E-3</v>
      </c>
      <c r="H48">
        <f t="shared" ca="1" si="3"/>
        <v>1.5008043415772231E-2</v>
      </c>
      <c r="I48" s="4">
        <f t="shared" ca="1" si="4"/>
        <v>218.02116287751011</v>
      </c>
      <c r="J48">
        <f t="shared" ca="1" si="5"/>
        <v>1.1653312326164664E-3</v>
      </c>
      <c r="K48" s="4">
        <f t="shared" ca="1" si="6"/>
        <v>8.8601253651682157</v>
      </c>
      <c r="L48">
        <f t="shared" ca="1" si="7"/>
        <v>-4.4507656344147332E-3</v>
      </c>
      <c r="M48" s="4">
        <f t="shared" ca="1" si="8"/>
        <v>232.33171346905337</v>
      </c>
    </row>
    <row r="49" spans="1:13" x14ac:dyDescent="0.2">
      <c r="A49">
        <v>48</v>
      </c>
      <c r="B49" s="1">
        <v>197.61</v>
      </c>
      <c r="C49" s="1">
        <v>10.19</v>
      </c>
      <c r="D49" s="1">
        <v>203.27</v>
      </c>
      <c r="E49">
        <f t="shared" si="0"/>
        <v>1.4116682382369381E-2</v>
      </c>
      <c r="F49">
        <f t="shared" si="1"/>
        <v>2.0823756911260698E-2</v>
      </c>
      <c r="G49">
        <f t="shared" si="2"/>
        <v>7.7536996107045722E-3</v>
      </c>
      <c r="H49">
        <f t="shared" ca="1" si="3"/>
        <v>1.9180493678794045E-3</v>
      </c>
      <c r="I49" s="4">
        <f t="shared" ca="1" si="4"/>
        <v>218.43973952816614</v>
      </c>
      <c r="J49">
        <f t="shared" ca="1" si="5"/>
        <v>-4.3332095122162366E-3</v>
      </c>
      <c r="K49" s="4">
        <f t="shared" ca="1" si="6"/>
        <v>8.8218156476168623</v>
      </c>
      <c r="L49">
        <f t="shared" ca="1" si="7"/>
        <v>2.3206654212849662E-2</v>
      </c>
      <c r="M49" s="4">
        <f t="shared" ca="1" si="8"/>
        <v>237.78640295338357</v>
      </c>
    </row>
    <row r="50" spans="1:13" x14ac:dyDescent="0.2">
      <c r="A50">
        <v>49</v>
      </c>
      <c r="B50" s="1">
        <v>202.4</v>
      </c>
      <c r="C50" s="1">
        <v>10.24</v>
      </c>
      <c r="D50" s="1">
        <v>202.82</v>
      </c>
      <c r="E50">
        <f t="shared" si="0"/>
        <v>2.3950546092599133E-2</v>
      </c>
      <c r="F50">
        <f t="shared" si="1"/>
        <v>4.8947723767284275E-3</v>
      </c>
      <c r="G50">
        <f t="shared" si="2"/>
        <v>-2.2162583870203399E-3</v>
      </c>
      <c r="H50">
        <f t="shared" ca="1" si="3"/>
        <v>1.0231314016840375E-2</v>
      </c>
      <c r="I50" s="4">
        <f t="shared" ca="1" si="4"/>
        <v>220.6861373015463</v>
      </c>
      <c r="J50">
        <f t="shared" ca="1" si="5"/>
        <v>3.2520573325253856E-2</v>
      </c>
      <c r="K50" s="4">
        <f t="shared" ca="1" si="6"/>
        <v>9.1134220545234985</v>
      </c>
      <c r="L50">
        <f t="shared" ca="1" si="7"/>
        <v>5.6147107003525501E-2</v>
      </c>
      <c r="M50" s="4">
        <f t="shared" ca="1" si="8"/>
        <v>251.51934652358969</v>
      </c>
    </row>
    <row r="51" spans="1:13" x14ac:dyDescent="0.2">
      <c r="A51">
        <v>50</v>
      </c>
      <c r="B51" s="1">
        <v>203.34</v>
      </c>
      <c r="C51" s="1">
        <v>10.1</v>
      </c>
      <c r="D51" s="1">
        <v>200.63</v>
      </c>
      <c r="E51">
        <f t="shared" si="0"/>
        <v>4.6335174337044076E-3</v>
      </c>
      <c r="F51">
        <f t="shared" si="1"/>
        <v>-1.3766195764147959E-2</v>
      </c>
      <c r="G51">
        <f t="shared" si="2"/>
        <v>-1.085647049174078E-2</v>
      </c>
      <c r="H51">
        <f t="shared" ca="1" si="3"/>
        <v>-3.1840470825779218E-2</v>
      </c>
      <c r="I51" s="4">
        <f t="shared" ca="1" si="4"/>
        <v>213.77007639390908</v>
      </c>
      <c r="J51">
        <f t="shared" ca="1" si="5"/>
        <v>5.4044634539742401E-3</v>
      </c>
      <c r="K51" s="4">
        <f t="shared" ca="1" si="6"/>
        <v>9.1628085444903018</v>
      </c>
      <c r="L51">
        <f t="shared" ca="1" si="7"/>
        <v>8.9932570397597035E-3</v>
      </c>
      <c r="M51" s="4">
        <f t="shared" ca="1" si="8"/>
        <v>253.79152649237776</v>
      </c>
    </row>
    <row r="52" spans="1:13" x14ac:dyDescent="0.2">
      <c r="A52">
        <v>51</v>
      </c>
      <c r="B52" s="1">
        <v>205.18</v>
      </c>
      <c r="C52" s="1">
        <v>10.26</v>
      </c>
      <c r="D52" s="1">
        <v>203.92</v>
      </c>
      <c r="E52">
        <f t="shared" si="0"/>
        <v>9.0081878125517333E-3</v>
      </c>
      <c r="F52">
        <f t="shared" si="1"/>
        <v>1.5717415895409724E-2</v>
      </c>
      <c r="G52">
        <f t="shared" si="2"/>
        <v>1.6265344375750522E-2</v>
      </c>
      <c r="H52">
        <f t="shared" ca="1" si="3"/>
        <v>7.8145853262832337E-3</v>
      </c>
      <c r="I52" s="4">
        <f t="shared" ca="1" si="4"/>
        <v>215.44714516002236</v>
      </c>
      <c r="J52">
        <f t="shared" ca="1" si="5"/>
        <v>1.2506234451155767E-2</v>
      </c>
      <c r="K52" s="4">
        <f t="shared" ca="1" si="6"/>
        <v>9.2781203315509941</v>
      </c>
      <c r="L52">
        <f t="shared" ca="1" si="7"/>
        <v>3.3166650968709466E-2</v>
      </c>
      <c r="M52" s="4">
        <f t="shared" ca="1" si="8"/>
        <v>262.35008631423386</v>
      </c>
    </row>
    <row r="53" spans="1:13" x14ac:dyDescent="0.2">
      <c r="A53">
        <v>52</v>
      </c>
      <c r="B53" s="1">
        <v>207</v>
      </c>
      <c r="C53" s="1">
        <v>10.34</v>
      </c>
      <c r="D53" s="1">
        <v>201.45</v>
      </c>
      <c r="E53">
        <f t="shared" si="0"/>
        <v>8.8311506058023573E-3</v>
      </c>
      <c r="F53">
        <f t="shared" si="1"/>
        <v>7.7670293376595964E-3</v>
      </c>
      <c r="G53">
        <f t="shared" si="2"/>
        <v>-1.2186548430503737E-2</v>
      </c>
      <c r="H53">
        <f t="shared" ca="1" si="3"/>
        <v>9.3421698040003168E-3</v>
      </c>
      <c r="I53" s="4">
        <f t="shared" ca="1" si="4"/>
        <v>217.46932001705895</v>
      </c>
      <c r="J53">
        <f t="shared" ca="1" si="5"/>
        <v>4.8143785712611853E-2</v>
      </c>
      <c r="K53" s="4">
        <f t="shared" ca="1" si="6"/>
        <v>9.7357313468671123</v>
      </c>
      <c r="L53">
        <f t="shared" ca="1" si="7"/>
        <v>3.1612398862564367E-2</v>
      </c>
      <c r="M53" s="4">
        <f t="shared" ca="1" si="8"/>
        <v>270.77608317732324</v>
      </c>
    </row>
    <row r="54" spans="1:13" x14ac:dyDescent="0.2">
      <c r="A54">
        <v>53</v>
      </c>
      <c r="B54" s="1">
        <v>212.46</v>
      </c>
      <c r="C54" s="1">
        <v>10.6</v>
      </c>
      <c r="D54" s="1">
        <v>202.67</v>
      </c>
      <c r="E54">
        <f t="shared" si="0"/>
        <v>2.6034942086498303E-2</v>
      </c>
      <c r="F54">
        <f t="shared" si="1"/>
        <v>2.4834132037738394E-2</v>
      </c>
      <c r="G54">
        <f t="shared" si="2"/>
        <v>6.0378288938655912E-3</v>
      </c>
      <c r="H54">
        <f t="shared" ca="1" si="3"/>
        <v>7.8208821792836256E-3</v>
      </c>
      <c r="I54" s="4">
        <f t="shared" ca="1" si="4"/>
        <v>219.17679020482345</v>
      </c>
      <c r="J54">
        <f t="shared" ca="1" si="5"/>
        <v>-4.5236603581795695E-2</v>
      </c>
      <c r="K54" s="4">
        <f t="shared" ca="1" si="6"/>
        <v>9.3051327631906311</v>
      </c>
      <c r="L54">
        <f t="shared" ca="1" si="7"/>
        <v>3.3984680602007843E-2</v>
      </c>
      <c r="M54" s="4">
        <f t="shared" ca="1" si="8"/>
        <v>280.13647597035163</v>
      </c>
    </row>
    <row r="55" spans="1:13" x14ac:dyDescent="0.2">
      <c r="A55">
        <v>54</v>
      </c>
      <c r="B55" s="1">
        <v>214.1</v>
      </c>
      <c r="C55" s="1">
        <v>10.66</v>
      </c>
      <c r="D55" s="1">
        <v>198.78</v>
      </c>
      <c r="E55">
        <f t="shared" si="0"/>
        <v>7.6894602437697027E-3</v>
      </c>
      <c r="F55">
        <f t="shared" si="1"/>
        <v>5.6444176196771313E-3</v>
      </c>
      <c r="G55">
        <f t="shared" si="2"/>
        <v>-1.9380354991362321E-2</v>
      </c>
      <c r="H55">
        <f t="shared" ca="1" si="3"/>
        <v>2.4110479015178644E-2</v>
      </c>
      <c r="I55" s="4">
        <f t="shared" ca="1" si="4"/>
        <v>224.52546809555736</v>
      </c>
      <c r="J55">
        <f t="shared" ca="1" si="5"/>
        <v>3.665445303839375E-2</v>
      </c>
      <c r="K55" s="4">
        <f t="shared" ca="1" si="6"/>
        <v>9.652535345739091</v>
      </c>
      <c r="L55">
        <f t="shared" ca="1" si="7"/>
        <v>3.2408132912177208E-2</v>
      </c>
      <c r="M55" s="4">
        <f t="shared" ca="1" si="8"/>
        <v>289.36389014428704</v>
      </c>
    </row>
    <row r="56" spans="1:13" x14ac:dyDescent="0.2">
      <c r="A56">
        <v>55</v>
      </c>
      <c r="B56" s="1">
        <v>215.43</v>
      </c>
      <c r="C56" s="1">
        <v>10.53</v>
      </c>
      <c r="D56" s="1">
        <v>199.2</v>
      </c>
      <c r="E56">
        <f t="shared" si="0"/>
        <v>6.1928351946988281E-3</v>
      </c>
      <c r="F56">
        <f t="shared" si="1"/>
        <v>-1.227009259181447E-2</v>
      </c>
      <c r="G56">
        <f t="shared" si="2"/>
        <v>2.1106596106382439E-3</v>
      </c>
      <c r="H56">
        <f t="shared" ca="1" si="3"/>
        <v>-1.2964113537382015E-2</v>
      </c>
      <c r="I56" s="4">
        <f t="shared" ca="1" si="4"/>
        <v>221.63348096404559</v>
      </c>
      <c r="J56">
        <f t="shared" ca="1" si="5"/>
        <v>-2.09186532111388E-2</v>
      </c>
      <c r="K56" s="4">
        <f t="shared" ca="1" si="6"/>
        <v>9.4527145834272499</v>
      </c>
      <c r="L56">
        <f t="shared" ca="1" si="7"/>
        <v>-1.4133498558543464E-2</v>
      </c>
      <c r="M56" s="4">
        <f t="shared" ca="1" si="8"/>
        <v>285.30293139711193</v>
      </c>
    </row>
    <row r="57" spans="1:13" x14ac:dyDescent="0.2">
      <c r="A57">
        <v>56</v>
      </c>
      <c r="B57" s="1">
        <v>211.1</v>
      </c>
      <c r="C57" s="1">
        <v>10.43</v>
      </c>
      <c r="D57" s="1">
        <v>196.45</v>
      </c>
      <c r="E57">
        <f t="shared" si="0"/>
        <v>-2.0304075936061042E-2</v>
      </c>
      <c r="F57">
        <f t="shared" si="1"/>
        <v>-9.5420571332030472E-3</v>
      </c>
      <c r="G57">
        <f t="shared" si="2"/>
        <v>-1.3901399146029038E-2</v>
      </c>
      <c r="H57">
        <f t="shared" ca="1" si="3"/>
        <v>-5.8406569433995768E-3</v>
      </c>
      <c r="I57" s="4">
        <f t="shared" ca="1" si="4"/>
        <v>220.3427688072228</v>
      </c>
      <c r="J57">
        <f t="shared" ca="1" si="5"/>
        <v>-1.9735855442473728E-3</v>
      </c>
      <c r="K57" s="4">
        <f t="shared" ca="1" si="6"/>
        <v>9.4340772398169008</v>
      </c>
      <c r="L57">
        <f t="shared" ca="1" si="7"/>
        <v>-3.1105650414707784E-2</v>
      </c>
      <c r="M57" s="4">
        <f t="shared" ca="1" si="8"/>
        <v>276.56500216574767</v>
      </c>
    </row>
    <row r="58" spans="1:13" x14ac:dyDescent="0.2">
      <c r="A58">
        <v>57</v>
      </c>
      <c r="B58" s="1">
        <v>215.68</v>
      </c>
      <c r="C58" s="1">
        <v>10.62</v>
      </c>
      <c r="D58" s="1">
        <v>198.42</v>
      </c>
      <c r="E58">
        <f t="shared" si="0"/>
        <v>2.1463872869667316E-2</v>
      </c>
      <c r="F58">
        <f t="shared" si="1"/>
        <v>1.8052746801111748E-2</v>
      </c>
      <c r="G58">
        <f t="shared" si="2"/>
        <v>9.9780502172876224E-3</v>
      </c>
      <c r="H58">
        <f t="shared" ca="1" si="3"/>
        <v>1.0415581176141815E-2</v>
      </c>
      <c r="I58" s="4">
        <f t="shared" ca="1" si="4"/>
        <v>222.64976027476385</v>
      </c>
      <c r="J58">
        <f t="shared" ca="1" si="5"/>
        <v>3.6108250312137075E-2</v>
      </c>
      <c r="K58" s="4">
        <f t="shared" ca="1" si="6"/>
        <v>9.7809500604950372</v>
      </c>
      <c r="L58">
        <f t="shared" ca="1" si="7"/>
        <v>8.0388633996556109E-3</v>
      </c>
      <c r="M58" s="4">
        <f t="shared" ca="1" si="8"/>
        <v>278.79723070829249</v>
      </c>
    </row>
    <row r="59" spans="1:13" x14ac:dyDescent="0.2">
      <c r="A59">
        <v>58</v>
      </c>
      <c r="B59" s="1">
        <v>213.9</v>
      </c>
      <c r="C59" s="1">
        <v>10.42</v>
      </c>
      <c r="D59" s="1">
        <v>195.64</v>
      </c>
      <c r="E59">
        <f t="shared" si="0"/>
        <v>-8.2872116355822804E-3</v>
      </c>
      <c r="F59">
        <f t="shared" si="1"/>
        <v>-1.901197948857189E-2</v>
      </c>
      <c r="G59">
        <f t="shared" si="2"/>
        <v>-1.4109760550600002E-2</v>
      </c>
      <c r="H59">
        <f t="shared" ca="1" si="3"/>
        <v>3.3373119759237201E-2</v>
      </c>
      <c r="I59" s="4">
        <f t="shared" ca="1" si="4"/>
        <v>230.20565805120302</v>
      </c>
      <c r="J59">
        <f t="shared" ca="1" si="5"/>
        <v>-1.3634648404458105E-2</v>
      </c>
      <c r="K59" s="4">
        <f t="shared" ca="1" si="6"/>
        <v>9.6484952844878258</v>
      </c>
      <c r="L59">
        <f t="shared" ca="1" si="7"/>
        <v>-5.757379426026667E-3</v>
      </c>
      <c r="M59" s="4">
        <f t="shared" ca="1" si="8"/>
        <v>277.19670111736428</v>
      </c>
    </row>
    <row r="60" spans="1:13" x14ac:dyDescent="0.2">
      <c r="A60">
        <v>59</v>
      </c>
      <c r="B60" s="1">
        <v>213.5</v>
      </c>
      <c r="C60" s="1">
        <v>10.43</v>
      </c>
      <c r="D60" s="1">
        <v>196.58</v>
      </c>
      <c r="E60">
        <f t="shared" si="0"/>
        <v>-1.8717834196807367E-3</v>
      </c>
      <c r="F60">
        <f t="shared" si="1"/>
        <v>9.5923268746013425E-4</v>
      </c>
      <c r="G60">
        <f t="shared" si="2"/>
        <v>4.7932374673270439E-3</v>
      </c>
      <c r="H60">
        <f t="shared" ca="1" si="3"/>
        <v>-1.5100025631932436E-5</v>
      </c>
      <c r="I60" s="4">
        <f t="shared" ca="1" si="4"/>
        <v>230.2021819661104</v>
      </c>
      <c r="J60">
        <f t="shared" ca="1" si="5"/>
        <v>-1.9201426751217748E-2</v>
      </c>
      <c r="K60" s="4">
        <f t="shared" ca="1" si="6"/>
        <v>9.4649977540652799</v>
      </c>
      <c r="L60">
        <f t="shared" ca="1" si="7"/>
        <v>-2.0094789008365796E-2</v>
      </c>
      <c r="M60" s="4">
        <f t="shared" ca="1" si="8"/>
        <v>271.68208498425884</v>
      </c>
    </row>
    <row r="61" spans="1:13" x14ac:dyDescent="0.2">
      <c r="A61">
        <v>60</v>
      </c>
      <c r="B61" s="1">
        <v>209.51</v>
      </c>
      <c r="C61" s="1">
        <v>10.59</v>
      </c>
      <c r="D61" s="1">
        <v>201</v>
      </c>
      <c r="E61">
        <f t="shared" si="0"/>
        <v>-1.8865361748758455E-2</v>
      </c>
      <c r="F61">
        <f t="shared" si="1"/>
        <v>1.5223890600634022E-2</v>
      </c>
      <c r="G61">
        <f t="shared" si="2"/>
        <v>2.2235434920592347E-2</v>
      </c>
      <c r="H61">
        <f t="shared" ca="1" si="3"/>
        <v>-3.3957808601415396E-2</v>
      </c>
      <c r="I61" s="4">
        <f t="shared" ca="1" si="4"/>
        <v>222.51625746788145</v>
      </c>
      <c r="J61">
        <f t="shared" ca="1" si="5"/>
        <v>2.7644113535545654E-2</v>
      </c>
      <c r="K61" s="4">
        <f t="shared" ca="1" si="6"/>
        <v>9.7302993452376629</v>
      </c>
      <c r="L61">
        <f t="shared" ca="1" si="7"/>
        <v>4.3700239123671695E-3</v>
      </c>
      <c r="M61" s="4">
        <f t="shared" ca="1" si="8"/>
        <v>272.87194014639169</v>
      </c>
    </row>
    <row r="62" spans="1:13" x14ac:dyDescent="0.2">
      <c r="A62">
        <v>61</v>
      </c>
      <c r="B62" s="1">
        <v>210.32</v>
      </c>
      <c r="C62" s="1">
        <v>10.75</v>
      </c>
      <c r="D62" s="1">
        <v>201.5</v>
      </c>
      <c r="E62">
        <f t="shared" si="0"/>
        <v>3.858709501704824E-3</v>
      </c>
      <c r="F62">
        <f t="shared" si="1"/>
        <v>1.4995594960356831E-2</v>
      </c>
      <c r="G62">
        <f t="shared" si="2"/>
        <v>2.4844733276619658E-3</v>
      </c>
      <c r="H62">
        <f t="shared" ca="1" si="3"/>
        <v>2.6786034388082438E-2</v>
      </c>
      <c r="I62" s="4">
        <f t="shared" ca="1" si="4"/>
        <v>228.55712991557925</v>
      </c>
      <c r="J62">
        <f t="shared" ca="1" si="5"/>
        <v>7.6302413535399172E-3</v>
      </c>
      <c r="K62" s="4">
        <f t="shared" ca="1" si="6"/>
        <v>9.8048278513379099</v>
      </c>
      <c r="L62">
        <f t="shared" ca="1" si="7"/>
        <v>2.5998960140211191E-2</v>
      </c>
      <c r="M62" s="4">
        <f t="shared" ca="1" si="8"/>
        <v>280.05935463902318</v>
      </c>
    </row>
    <row r="63" spans="1:13" x14ac:dyDescent="0.2">
      <c r="A63">
        <v>62</v>
      </c>
      <c r="B63" s="1">
        <v>220.09</v>
      </c>
      <c r="C63" s="1">
        <v>10.73</v>
      </c>
      <c r="D63" s="1">
        <v>200.3</v>
      </c>
      <c r="E63">
        <f t="shared" si="0"/>
        <v>4.5406373184954864E-2</v>
      </c>
      <c r="F63">
        <f t="shared" si="1"/>
        <v>-1.8621979310646511E-3</v>
      </c>
      <c r="G63">
        <f t="shared" si="2"/>
        <v>-5.9731387149650926E-3</v>
      </c>
      <c r="H63">
        <f t="shared" ca="1" si="3"/>
        <v>2.2726862940803019E-2</v>
      </c>
      <c r="I63" s="4">
        <f t="shared" ca="1" si="4"/>
        <v>233.81099224833341</v>
      </c>
      <c r="J63">
        <f t="shared" ca="1" si="5"/>
        <v>-1.0471900225501304E-2</v>
      </c>
      <c r="K63" s="4">
        <f t="shared" ca="1" si="6"/>
        <v>9.702688402796122</v>
      </c>
      <c r="L63">
        <f t="shared" ca="1" si="7"/>
        <v>-3.1966318761434555E-2</v>
      </c>
      <c r="M63" s="4">
        <f t="shared" ca="1" si="8"/>
        <v>271.24846417112457</v>
      </c>
    </row>
    <row r="64" spans="1:13" x14ac:dyDescent="0.2">
      <c r="A64">
        <v>63</v>
      </c>
      <c r="B64" s="1">
        <v>222.74</v>
      </c>
      <c r="C64" s="1">
        <v>10.48</v>
      </c>
      <c r="D64" s="1">
        <v>201.56</v>
      </c>
      <c r="E64">
        <f t="shared" si="0"/>
        <v>1.1968618358373427E-2</v>
      </c>
      <c r="F64">
        <f t="shared" si="1"/>
        <v>-2.3574877749710996E-2</v>
      </c>
      <c r="G64">
        <f t="shared" si="2"/>
        <v>6.2708611406248112E-3</v>
      </c>
      <c r="H64">
        <f t="shared" ca="1" si="3"/>
        <v>2.4703903983826925E-3</v>
      </c>
      <c r="I64" s="4">
        <f t="shared" ca="1" si="4"/>
        <v>234.38931072070585</v>
      </c>
      <c r="J64">
        <f t="shared" ca="1" si="5"/>
        <v>-7.1633810164394096E-3</v>
      </c>
      <c r="K64" s="4">
        <f t="shared" ca="1" si="6"/>
        <v>9.6334326975341256</v>
      </c>
      <c r="L64">
        <f t="shared" ca="1" si="7"/>
        <v>-3.9809950351906265E-2</v>
      </c>
      <c r="M64" s="4">
        <f t="shared" ca="1" si="8"/>
        <v>260.66219381299572</v>
      </c>
    </row>
    <row r="65" spans="1:13" x14ac:dyDescent="0.2">
      <c r="A65">
        <v>64</v>
      </c>
      <c r="B65" s="1">
        <v>224.01</v>
      </c>
      <c r="C65" s="1">
        <v>10.63</v>
      </c>
      <c r="D65" s="1">
        <v>201</v>
      </c>
      <c r="E65">
        <f t="shared" si="0"/>
        <v>5.6855217507659163E-3</v>
      </c>
      <c r="F65">
        <f t="shared" si="1"/>
        <v>1.4211513460960548E-2</v>
      </c>
      <c r="G65">
        <f t="shared" si="2"/>
        <v>-2.782195753321553E-3</v>
      </c>
      <c r="H65">
        <f t="shared" ca="1" si="3"/>
        <v>1.1693380517674174E-4</v>
      </c>
      <c r="I65" s="4">
        <f t="shared" ca="1" si="4"/>
        <v>234.4167203572265</v>
      </c>
      <c r="J65">
        <f t="shared" ca="1" si="5"/>
        <v>3.6458254953466588E-3</v>
      </c>
      <c r="K65" s="4">
        <f t="shared" ca="1" si="6"/>
        <v>9.6686186139516916</v>
      </c>
      <c r="L65">
        <f t="shared" ca="1" si="7"/>
        <v>2.4635969631648224E-2</v>
      </c>
      <c r="M65" s="4">
        <f t="shared" ca="1" si="8"/>
        <v>267.163615292092</v>
      </c>
    </row>
    <row r="66" spans="1:13" x14ac:dyDescent="0.2">
      <c r="A66">
        <v>65</v>
      </c>
      <c r="B66" s="1">
        <v>228.57</v>
      </c>
      <c r="C66" s="1">
        <v>10.8</v>
      </c>
      <c r="D66" s="1">
        <v>201.08</v>
      </c>
      <c r="E66">
        <f t="shared" si="0"/>
        <v>2.0151815437307912E-2</v>
      </c>
      <c r="F66">
        <f t="shared" si="1"/>
        <v>1.5865941776317376E-2</v>
      </c>
      <c r="G66">
        <f t="shared" si="2"/>
        <v>3.9793076529873232E-4</v>
      </c>
      <c r="H66">
        <f t="shared" ca="1" si="3"/>
        <v>-2.4012685330101723E-2</v>
      </c>
      <c r="I66" s="4">
        <f t="shared" ca="1" si="4"/>
        <v>228.85479109609236</v>
      </c>
      <c r="J66">
        <f t="shared" ca="1" si="5"/>
        <v>6.7632150606945045E-3</v>
      </c>
      <c r="K66" s="4">
        <f t="shared" ca="1" si="6"/>
        <v>9.7342311868493159</v>
      </c>
      <c r="L66">
        <f t="shared" ca="1" si="7"/>
        <v>-9.7405449267410011E-5</v>
      </c>
      <c r="M66" s="4">
        <f t="shared" ca="1" si="8"/>
        <v>267.13759336747574</v>
      </c>
    </row>
    <row r="67" spans="1:13" x14ac:dyDescent="0.2">
      <c r="A67">
        <v>66</v>
      </c>
      <c r="B67" s="1">
        <v>226.49</v>
      </c>
      <c r="C67" s="1">
        <v>10.85</v>
      </c>
      <c r="D67" s="1">
        <v>205.17</v>
      </c>
      <c r="E67">
        <f t="shared" si="0"/>
        <v>-9.1417153149592964E-3</v>
      </c>
      <c r="F67">
        <f t="shared" si="1"/>
        <v>4.6189458562944583E-3</v>
      </c>
      <c r="G67">
        <f t="shared" si="2"/>
        <v>2.0136064953739752E-2</v>
      </c>
      <c r="H67">
        <f t="shared" ca="1" si="3"/>
        <v>-3.4517329630571462E-2</v>
      </c>
      <c r="I67" s="4">
        <f t="shared" ca="1" si="4"/>
        <v>221.09011371613039</v>
      </c>
      <c r="J67">
        <f t="shared" ca="1" si="5"/>
        <v>5.0233096557667179E-3</v>
      </c>
      <c r="K67" s="4">
        <f t="shared" ca="1" si="6"/>
        <v>9.783252265308418</v>
      </c>
      <c r="L67">
        <f t="shared" ca="1" si="7"/>
        <v>1.2499737539828596E-3</v>
      </c>
      <c r="M67" s="4">
        <f t="shared" ca="1" si="8"/>
        <v>267.4717171273486</v>
      </c>
    </row>
    <row r="68" spans="1:13" x14ac:dyDescent="0.2">
      <c r="A68">
        <v>67</v>
      </c>
      <c r="B68" s="1">
        <v>224.68</v>
      </c>
      <c r="C68" s="1">
        <v>11.35</v>
      </c>
      <c r="D68" s="1">
        <v>207.82</v>
      </c>
      <c r="E68">
        <f t="shared" ref="E68:E131" si="9">LN(B68/B67)</f>
        <v>-8.0236261738366767E-3</v>
      </c>
      <c r="F68">
        <f t="shared" ref="F68:F131" si="10">LN(C68/C67)</f>
        <v>4.5052663940943143E-2</v>
      </c>
      <c r="G68">
        <f t="shared" ref="G68:G131" si="11">LN(D68/D67)</f>
        <v>1.2833416646386379E-2</v>
      </c>
      <c r="H68">
        <f t="shared" ref="H68:H131" ca="1" si="12">_xlfn.NORM.INV(RAND(),$E$254,$E$255)</f>
        <v>-1.5301479458120741E-2</v>
      </c>
      <c r="I68" s="4">
        <f t="shared" ref="I68:I131" ca="1" si="13">I67*EXP(H68)</f>
        <v>217.73285886980239</v>
      </c>
      <c r="J68">
        <f t="shared" ref="J68:J131" ca="1" si="14">_xlfn.NORM.INV(RAND(),$F$254,$F$255)</f>
        <v>3.1746260000877296E-3</v>
      </c>
      <c r="K68" s="4">
        <f t="shared" ref="K68:K131" ca="1" si="15">K67*EXP(J68)</f>
        <v>9.8143597835576255</v>
      </c>
      <c r="L68">
        <f t="shared" ref="L68:L131" ca="1" si="16">_xlfn.NORM.INV(RAND(),$G$254,$G$255)</f>
        <v>3.1507417460693202E-2</v>
      </c>
      <c r="M68" s="4">
        <f t="shared" ref="M68:M131" ca="1" si="17">M67*EXP(L68)</f>
        <v>276.03322746637451</v>
      </c>
    </row>
    <row r="69" spans="1:13" x14ac:dyDescent="0.2">
      <c r="A69">
        <v>68</v>
      </c>
      <c r="B69" s="1">
        <v>233.6</v>
      </c>
      <c r="C69" s="1">
        <v>11.77</v>
      </c>
      <c r="D69" s="1">
        <v>212.44</v>
      </c>
      <c r="E69">
        <f t="shared" si="9"/>
        <v>3.8933083289839979E-2</v>
      </c>
      <c r="F69">
        <f t="shared" si="10"/>
        <v>3.6336177344773686E-2</v>
      </c>
      <c r="G69">
        <f t="shared" si="11"/>
        <v>2.1987275129697868E-2</v>
      </c>
      <c r="H69">
        <f t="shared" ca="1" si="12"/>
        <v>3.3398267248661254E-2</v>
      </c>
      <c r="I69" s="4">
        <f t="shared" ca="1" si="13"/>
        <v>225.12755677593384</v>
      </c>
      <c r="J69">
        <f t="shared" ca="1" si="14"/>
        <v>-3.0485688694427329E-2</v>
      </c>
      <c r="K69" s="4">
        <f t="shared" ca="1" si="15"/>
        <v>9.5196768941527203</v>
      </c>
      <c r="L69">
        <f t="shared" ca="1" si="16"/>
        <v>6.5509536282864897E-3</v>
      </c>
      <c r="M69" s="4">
        <f t="shared" ca="1" si="17"/>
        <v>277.84744427638276</v>
      </c>
    </row>
    <row r="70" spans="1:13" x14ac:dyDescent="0.2">
      <c r="A70">
        <v>69</v>
      </c>
      <c r="B70" s="1">
        <v>234.8</v>
      </c>
      <c r="C70" s="1">
        <v>11.81</v>
      </c>
      <c r="D70" s="1">
        <v>213.55</v>
      </c>
      <c r="E70">
        <f t="shared" si="9"/>
        <v>5.1238369998694664E-3</v>
      </c>
      <c r="F70">
        <f t="shared" si="10"/>
        <v>3.3927089370857089E-3</v>
      </c>
      <c r="G70">
        <f t="shared" si="11"/>
        <v>5.2114017332771934E-3</v>
      </c>
      <c r="H70">
        <f t="shared" ca="1" si="12"/>
        <v>3.551981629996958E-2</v>
      </c>
      <c r="I70" s="4">
        <f t="shared" ca="1" si="13"/>
        <v>233.26775966473204</v>
      </c>
      <c r="J70">
        <f t="shared" ca="1" si="14"/>
        <v>8.2141612356088148E-3</v>
      </c>
      <c r="K70" s="4">
        <f t="shared" ca="1" si="15"/>
        <v>9.5981950941655274</v>
      </c>
      <c r="L70">
        <f t="shared" ca="1" si="16"/>
        <v>-2.264842163129057E-2</v>
      </c>
      <c r="M70" s="4">
        <f t="shared" ca="1" si="17"/>
        <v>271.62536432060449</v>
      </c>
    </row>
    <row r="71" spans="1:13" x14ac:dyDescent="0.2">
      <c r="A71">
        <v>70</v>
      </c>
      <c r="B71" s="1">
        <v>229.17</v>
      </c>
      <c r="C71" s="1">
        <v>11.59</v>
      </c>
      <c r="D71" s="1">
        <v>209.95</v>
      </c>
      <c r="E71">
        <f t="shared" si="9"/>
        <v>-2.427000173256352E-2</v>
      </c>
      <c r="F71">
        <f t="shared" si="10"/>
        <v>-1.8803972857610606E-2</v>
      </c>
      <c r="G71">
        <f t="shared" si="11"/>
        <v>-1.7001590157273334E-2</v>
      </c>
      <c r="H71">
        <f t="shared" ca="1" si="12"/>
        <v>3.5896705015086315E-2</v>
      </c>
      <c r="I71" s="4">
        <f t="shared" ca="1" si="13"/>
        <v>241.79340951770121</v>
      </c>
      <c r="J71">
        <f t="shared" ca="1" si="14"/>
        <v>3.1285364763370807E-2</v>
      </c>
      <c r="K71" s="4">
        <f t="shared" ca="1" si="15"/>
        <v>9.9032247313020001</v>
      </c>
      <c r="L71">
        <f t="shared" ca="1" si="16"/>
        <v>-2.708821286762828E-3</v>
      </c>
      <c r="M71" s="4">
        <f t="shared" ca="1" si="17"/>
        <v>270.89057540693921</v>
      </c>
    </row>
    <row r="72" spans="1:13" x14ac:dyDescent="0.2">
      <c r="A72">
        <v>71</v>
      </c>
      <c r="B72" s="1">
        <v>227.86</v>
      </c>
      <c r="C72" s="1">
        <v>11.68</v>
      </c>
      <c r="D72" s="1">
        <v>210.01</v>
      </c>
      <c r="E72">
        <f t="shared" si="9"/>
        <v>-5.7326809514081974E-3</v>
      </c>
      <c r="F72">
        <f t="shared" si="10"/>
        <v>7.7353200484207366E-3</v>
      </c>
      <c r="G72">
        <f t="shared" si="11"/>
        <v>2.8574150113462317E-4</v>
      </c>
      <c r="H72">
        <f t="shared" ca="1" si="12"/>
        <v>6.461304121282499E-3</v>
      </c>
      <c r="I72" s="4">
        <f t="shared" ca="1" si="13"/>
        <v>243.36076840945358</v>
      </c>
      <c r="J72">
        <f t="shared" ca="1" si="14"/>
        <v>5.788755717668125E-3</v>
      </c>
      <c r="K72" s="4">
        <f t="shared" ca="1" si="15"/>
        <v>9.960718327731902</v>
      </c>
      <c r="L72">
        <f t="shared" ca="1" si="16"/>
        <v>1.6901812566108926E-2</v>
      </c>
      <c r="M72" s="4">
        <f t="shared" ca="1" si="17"/>
        <v>275.50802888269021</v>
      </c>
    </row>
    <row r="73" spans="1:13" x14ac:dyDescent="0.2">
      <c r="A73">
        <v>72</v>
      </c>
      <c r="B73" s="1">
        <v>231.84</v>
      </c>
      <c r="C73" s="1">
        <v>11.83</v>
      </c>
      <c r="D73" s="1">
        <v>211.14</v>
      </c>
      <c r="E73">
        <f t="shared" si="9"/>
        <v>1.7316073302402493E-2</v>
      </c>
      <c r="F73">
        <f t="shared" si="10"/>
        <v>1.2760700590214488E-2</v>
      </c>
      <c r="G73">
        <f t="shared" si="11"/>
        <v>5.3662719302117997E-3</v>
      </c>
      <c r="H73">
        <f t="shared" ca="1" si="12"/>
        <v>4.5323126740728956E-2</v>
      </c>
      <c r="I73" s="4">
        <f t="shared" ca="1" si="13"/>
        <v>254.64441289187101</v>
      </c>
      <c r="J73">
        <f t="shared" ca="1" si="14"/>
        <v>-4.794678551796017E-3</v>
      </c>
      <c r="K73" s="4">
        <f t="shared" ca="1" si="15"/>
        <v>9.9130741956285853</v>
      </c>
      <c r="L73">
        <f t="shared" ca="1" si="16"/>
        <v>3.0632625349765456E-2</v>
      </c>
      <c r="M73" s="4">
        <f t="shared" ca="1" si="17"/>
        <v>284.07815571122183</v>
      </c>
    </row>
    <row r="74" spans="1:13" x14ac:dyDescent="0.2">
      <c r="A74">
        <v>73</v>
      </c>
      <c r="B74" s="1">
        <v>229.76</v>
      </c>
      <c r="C74" s="1">
        <v>11.91</v>
      </c>
      <c r="D74" s="1">
        <v>212.41</v>
      </c>
      <c r="E74">
        <f t="shared" si="9"/>
        <v>-9.0121927125129918E-3</v>
      </c>
      <c r="F74">
        <f t="shared" si="10"/>
        <v>6.7397053769132353E-3</v>
      </c>
      <c r="G74">
        <f t="shared" si="11"/>
        <v>5.9969486772448706E-3</v>
      </c>
      <c r="H74">
        <f t="shared" ca="1" si="12"/>
        <v>-3.1800655732369836E-2</v>
      </c>
      <c r="I74" s="4">
        <f t="shared" ca="1" si="13"/>
        <v>246.67395811413752</v>
      </c>
      <c r="J74">
        <f t="shared" ca="1" si="14"/>
        <v>-1.1837840653346837E-2</v>
      </c>
      <c r="K74" s="4">
        <f t="shared" ca="1" si="15"/>
        <v>9.7964166519313327</v>
      </c>
      <c r="L74">
        <f t="shared" ca="1" si="16"/>
        <v>-2.3895198758179831E-2</v>
      </c>
      <c r="M74" s="4">
        <f t="shared" ca="1" si="17"/>
        <v>277.37051112608981</v>
      </c>
    </row>
    <row r="75" spans="1:13" x14ac:dyDescent="0.2">
      <c r="A75">
        <v>74</v>
      </c>
      <c r="B75" s="1">
        <v>230.4</v>
      </c>
      <c r="C75" s="1">
        <v>11.78</v>
      </c>
      <c r="D75" s="1">
        <v>211.16</v>
      </c>
      <c r="E75">
        <f t="shared" si="9"/>
        <v>2.7816429618767705E-3</v>
      </c>
      <c r="F75">
        <f t="shared" si="10"/>
        <v>-1.0975205143768135E-2</v>
      </c>
      <c r="G75">
        <f t="shared" si="11"/>
        <v>-5.902229283378157E-3</v>
      </c>
      <c r="H75">
        <f t="shared" ca="1" si="12"/>
        <v>4.2147814528477212E-2</v>
      </c>
      <c r="I75" s="4">
        <f t="shared" ca="1" si="13"/>
        <v>257.29293779243579</v>
      </c>
      <c r="J75">
        <f t="shared" ca="1" si="14"/>
        <v>1.3629817985956999E-2</v>
      </c>
      <c r="K75" s="4">
        <f t="shared" ca="1" si="15"/>
        <v>9.9308541257416199</v>
      </c>
      <c r="L75">
        <f t="shared" ca="1" si="16"/>
        <v>4.1343704609071497E-2</v>
      </c>
      <c r="M75" s="4">
        <f t="shared" ca="1" si="17"/>
        <v>289.07839153562401</v>
      </c>
    </row>
    <row r="76" spans="1:13" x14ac:dyDescent="0.2">
      <c r="A76">
        <v>75</v>
      </c>
      <c r="B76" s="1">
        <v>228.67</v>
      </c>
      <c r="C76" s="1">
        <v>11.88</v>
      </c>
      <c r="D76" s="1">
        <v>208.62</v>
      </c>
      <c r="E76">
        <f t="shared" si="9"/>
        <v>-7.5370126107327283E-3</v>
      </c>
      <c r="F76">
        <f t="shared" si="10"/>
        <v>8.4531357110584106E-3</v>
      </c>
      <c r="G76">
        <f t="shared" si="11"/>
        <v>-1.210172470759039E-2</v>
      </c>
      <c r="H76">
        <f t="shared" ca="1" si="12"/>
        <v>-2.1345289350663037E-2</v>
      </c>
      <c r="I76" s="4">
        <f t="shared" ca="1" si="13"/>
        <v>251.85914483991485</v>
      </c>
      <c r="J76">
        <f t="shared" ca="1" si="14"/>
        <v>1.9279128549999563E-2</v>
      </c>
      <c r="K76" s="4">
        <f t="shared" ca="1" si="15"/>
        <v>10.124169830532828</v>
      </c>
      <c r="L76">
        <f t="shared" ca="1" si="16"/>
        <v>-1.6498544038538603E-2</v>
      </c>
      <c r="M76" s="4">
        <f t="shared" ca="1" si="17"/>
        <v>284.34814733143162</v>
      </c>
    </row>
    <row r="77" spans="1:13" x14ac:dyDescent="0.2">
      <c r="A77">
        <v>76</v>
      </c>
      <c r="B77" s="1">
        <v>236.95</v>
      </c>
      <c r="C77" s="1">
        <v>11.57</v>
      </c>
      <c r="D77" s="1">
        <v>209.11</v>
      </c>
      <c r="E77">
        <f t="shared" si="9"/>
        <v>3.5569232202593719E-2</v>
      </c>
      <c r="F77">
        <f t="shared" si="10"/>
        <v>-2.644077272891374E-2</v>
      </c>
      <c r="G77">
        <f t="shared" si="11"/>
        <v>2.3460140508832585E-3</v>
      </c>
      <c r="H77">
        <f t="shared" ca="1" si="12"/>
        <v>1.8913732912655898E-3</v>
      </c>
      <c r="I77" s="4">
        <f t="shared" ca="1" si="13"/>
        <v>252.33595527074209</v>
      </c>
      <c r="J77">
        <f t="shared" ca="1" si="14"/>
        <v>-2.1773955953411105E-2</v>
      </c>
      <c r="K77" s="4">
        <f t="shared" ca="1" si="15"/>
        <v>9.9061092386752954</v>
      </c>
      <c r="L77">
        <f t="shared" ca="1" si="16"/>
        <v>-1.2362844918756459E-2</v>
      </c>
      <c r="M77" s="4">
        <f t="shared" ca="1" si="17"/>
        <v>280.85443588752901</v>
      </c>
    </row>
    <row r="78" spans="1:13" x14ac:dyDescent="0.2">
      <c r="A78">
        <v>77</v>
      </c>
      <c r="B78" s="1">
        <v>237.56</v>
      </c>
      <c r="C78" s="1">
        <v>11.24</v>
      </c>
      <c r="D78" s="1">
        <v>210.16</v>
      </c>
      <c r="E78">
        <f t="shared" si="9"/>
        <v>2.571074734062183E-3</v>
      </c>
      <c r="F78">
        <f t="shared" si="10"/>
        <v>-2.8936696740040211E-2</v>
      </c>
      <c r="G78">
        <f t="shared" si="11"/>
        <v>5.0087160785759338E-3</v>
      </c>
      <c r="H78">
        <f t="shared" ca="1" si="12"/>
        <v>1.4617204970168551E-3</v>
      </c>
      <c r="I78" s="4">
        <f t="shared" ca="1" si="13"/>
        <v>252.70506961397467</v>
      </c>
      <c r="J78">
        <f t="shared" ca="1" si="14"/>
        <v>1.2762394827882009E-2</v>
      </c>
      <c r="K78" s="4">
        <f t="shared" ca="1" si="15"/>
        <v>10.033345106179478</v>
      </c>
      <c r="L78">
        <f t="shared" ca="1" si="16"/>
        <v>2.7275209270985042E-2</v>
      </c>
      <c r="M78" s="4">
        <f t="shared" ca="1" si="17"/>
        <v>288.62022472672265</v>
      </c>
    </row>
    <row r="79" spans="1:13" x14ac:dyDescent="0.2">
      <c r="A79">
        <v>78</v>
      </c>
      <c r="B79" s="1">
        <v>245.6</v>
      </c>
      <c r="C79" s="1">
        <v>11.15</v>
      </c>
      <c r="D79" s="1">
        <v>210.02</v>
      </c>
      <c r="E79">
        <f t="shared" si="9"/>
        <v>3.3283973125327972E-2</v>
      </c>
      <c r="F79">
        <f t="shared" si="10"/>
        <v>-8.0393465594172531E-3</v>
      </c>
      <c r="G79">
        <f t="shared" si="11"/>
        <v>-6.6638109943707117E-4</v>
      </c>
      <c r="H79">
        <f t="shared" ca="1" si="12"/>
        <v>-4.2507497241830901E-2</v>
      </c>
      <c r="I79" s="4">
        <f t="shared" ca="1" si="13"/>
        <v>242.18831355567858</v>
      </c>
      <c r="J79">
        <f t="shared" ca="1" si="14"/>
        <v>-2.6410571146391552E-2</v>
      </c>
      <c r="K79" s="4">
        <f t="shared" ca="1" si="15"/>
        <v>9.7718273490231784</v>
      </c>
      <c r="L79">
        <f t="shared" ca="1" si="16"/>
        <v>2.6970460427656103E-2</v>
      </c>
      <c r="M79" s="4">
        <f t="shared" ca="1" si="17"/>
        <v>296.51036719178848</v>
      </c>
    </row>
    <row r="80" spans="1:13" x14ac:dyDescent="0.2">
      <c r="A80">
        <v>79</v>
      </c>
      <c r="B80" s="1">
        <v>240.4</v>
      </c>
      <c r="C80" s="1">
        <v>11.16</v>
      </c>
      <c r="D80" s="1">
        <v>211.18</v>
      </c>
      <c r="E80">
        <f t="shared" si="9"/>
        <v>-2.1399993611934894E-2</v>
      </c>
      <c r="F80">
        <f t="shared" si="10"/>
        <v>8.9645904703720568E-4</v>
      </c>
      <c r="G80">
        <f t="shared" si="11"/>
        <v>5.5080861005209316E-3</v>
      </c>
      <c r="H80">
        <f t="shared" ca="1" si="12"/>
        <v>4.8767765867085096E-2</v>
      </c>
      <c r="I80" s="4">
        <f t="shared" ca="1" si="13"/>
        <v>254.29203345982506</v>
      </c>
      <c r="J80">
        <f t="shared" ca="1" si="14"/>
        <v>3.7721091473171403E-2</v>
      </c>
      <c r="K80" s="4">
        <f t="shared" ca="1" si="15"/>
        <v>10.14747165863289</v>
      </c>
      <c r="L80">
        <f t="shared" ca="1" si="16"/>
        <v>4.5332826751968191E-3</v>
      </c>
      <c r="M80" s="4">
        <f t="shared" ca="1" si="17"/>
        <v>297.85758385218747</v>
      </c>
    </row>
    <row r="81" spans="1:13" x14ac:dyDescent="0.2">
      <c r="A81">
        <v>80</v>
      </c>
      <c r="B81" s="1">
        <v>238.85</v>
      </c>
      <c r="C81" s="1">
        <v>11.31</v>
      </c>
      <c r="D81" s="1">
        <v>212.48</v>
      </c>
      <c r="E81">
        <f t="shared" si="9"/>
        <v>-6.4684628250816561E-3</v>
      </c>
      <c r="F81">
        <f t="shared" si="10"/>
        <v>1.3351333174864196E-2</v>
      </c>
      <c r="G81">
        <f t="shared" si="11"/>
        <v>6.1370159097006195E-3</v>
      </c>
      <c r="H81">
        <f t="shared" ca="1" si="12"/>
        <v>-2.2738776513225215E-2</v>
      </c>
      <c r="I81" s="4">
        <f t="shared" ca="1" si="13"/>
        <v>248.574989367798</v>
      </c>
      <c r="J81">
        <f t="shared" ca="1" si="14"/>
        <v>4.4515549297821123E-3</v>
      </c>
      <c r="K81" s="4">
        <f t="shared" ca="1" si="15"/>
        <v>10.192744378357425</v>
      </c>
      <c r="L81">
        <f t="shared" ca="1" si="16"/>
        <v>-8.2237984377052081E-3</v>
      </c>
      <c r="M81" s="4">
        <f t="shared" ca="1" si="17"/>
        <v>295.41810774797278</v>
      </c>
    </row>
    <row r="82" spans="1:13" x14ac:dyDescent="0.2">
      <c r="A82">
        <v>81</v>
      </c>
      <c r="B82" s="1">
        <v>234.6</v>
      </c>
      <c r="C82" s="1">
        <v>11.19</v>
      </c>
      <c r="D82" s="1">
        <v>214.4</v>
      </c>
      <c r="E82">
        <f t="shared" si="9"/>
        <v>-1.795380361659582E-2</v>
      </c>
      <c r="F82">
        <f t="shared" si="10"/>
        <v>-1.0666767804195303E-2</v>
      </c>
      <c r="G82">
        <f t="shared" si="11"/>
        <v>8.9955629085780031E-3</v>
      </c>
      <c r="H82">
        <f t="shared" ca="1" si="12"/>
        <v>-1.2449714535396924E-2</v>
      </c>
      <c r="I82" s="4">
        <f t="shared" ca="1" si="13"/>
        <v>245.49948600297014</v>
      </c>
      <c r="J82">
        <f t="shared" ca="1" si="14"/>
        <v>-3.4060830596365443E-2</v>
      </c>
      <c r="K82" s="4">
        <f t="shared" ca="1" si="15"/>
        <v>9.8514169843769483</v>
      </c>
      <c r="L82">
        <f t="shared" ca="1" si="16"/>
        <v>1.7489406477304598E-2</v>
      </c>
      <c r="M82" s="4">
        <f t="shared" ca="1" si="17"/>
        <v>300.63024081574383</v>
      </c>
    </row>
    <row r="83" spans="1:13" x14ac:dyDescent="0.2">
      <c r="A83">
        <v>82</v>
      </c>
      <c r="B83" s="1">
        <v>240.33</v>
      </c>
      <c r="C83" s="1">
        <v>11.38</v>
      </c>
      <c r="D83" s="1">
        <v>214.15</v>
      </c>
      <c r="E83">
        <f t="shared" si="9"/>
        <v>2.4131042675760089E-2</v>
      </c>
      <c r="F83">
        <f t="shared" si="10"/>
        <v>1.6836906374351153E-2</v>
      </c>
      <c r="G83">
        <f t="shared" si="11"/>
        <v>-1.1667251352669031E-3</v>
      </c>
      <c r="H83">
        <f t="shared" ca="1" si="12"/>
        <v>-2.0795725160429237E-2</v>
      </c>
      <c r="I83" s="4">
        <f t="shared" ca="1" si="13"/>
        <v>240.44686471451075</v>
      </c>
      <c r="J83">
        <f t="shared" ca="1" si="14"/>
        <v>-1.3502266327627601E-2</v>
      </c>
      <c r="K83" s="4">
        <f t="shared" ca="1" si="15"/>
        <v>9.7192945122304977</v>
      </c>
      <c r="L83">
        <f t="shared" ca="1" si="16"/>
        <v>-8.6239794736453768E-3</v>
      </c>
      <c r="M83" s="4">
        <f t="shared" ca="1" si="17"/>
        <v>298.04875911176828</v>
      </c>
    </row>
    <row r="84" spans="1:13" x14ac:dyDescent="0.2">
      <c r="A84">
        <v>83</v>
      </c>
      <c r="B84" s="1">
        <v>241.6</v>
      </c>
      <c r="C84" s="1">
        <v>11.26</v>
      </c>
      <c r="D84" s="1">
        <v>213.76</v>
      </c>
      <c r="E84">
        <f t="shared" si="9"/>
        <v>5.2704871655247579E-3</v>
      </c>
      <c r="F84">
        <f t="shared" si="10"/>
        <v>-1.0600805986640574E-2</v>
      </c>
      <c r="G84">
        <f t="shared" si="11"/>
        <v>-1.8228137130991598E-3</v>
      </c>
      <c r="H84">
        <f t="shared" ca="1" si="12"/>
        <v>1.1695396562076153E-2</v>
      </c>
      <c r="I84" s="4">
        <f t="shared" ca="1" si="13"/>
        <v>243.27549488309097</v>
      </c>
      <c r="J84">
        <f t="shared" ca="1" si="14"/>
        <v>-4.0449980842228631E-2</v>
      </c>
      <c r="K84" s="4">
        <f t="shared" ca="1" si="15"/>
        <v>9.3339944595456981</v>
      </c>
      <c r="L84">
        <f t="shared" ca="1" si="16"/>
        <v>-8.7718834493659588E-3</v>
      </c>
      <c r="M84" s="4">
        <f t="shared" ca="1" si="17"/>
        <v>295.4457435003273</v>
      </c>
    </row>
    <row r="85" spans="1:13" x14ac:dyDescent="0.2">
      <c r="A85">
        <v>84</v>
      </c>
      <c r="B85" s="1">
        <v>245.6</v>
      </c>
      <c r="C85" s="1">
        <v>11.47</v>
      </c>
      <c r="D85" s="1">
        <v>213.88</v>
      </c>
      <c r="E85">
        <f t="shared" si="9"/>
        <v>1.642073021232749E-2</v>
      </c>
      <c r="F85">
        <f t="shared" si="10"/>
        <v>1.8478308429735069E-2</v>
      </c>
      <c r="G85">
        <f t="shared" si="11"/>
        <v>5.6121973225001546E-4</v>
      </c>
      <c r="H85">
        <f t="shared" ca="1" si="12"/>
        <v>1.6191694561626356E-2</v>
      </c>
      <c r="I85" s="4">
        <f t="shared" ca="1" si="13"/>
        <v>247.24660009321983</v>
      </c>
      <c r="J85">
        <f t="shared" ca="1" si="14"/>
        <v>-1.342781469130824E-2</v>
      </c>
      <c r="K85" s="4">
        <f t="shared" ca="1" si="15"/>
        <v>9.2094970463426513</v>
      </c>
      <c r="L85">
        <f t="shared" ca="1" si="16"/>
        <v>-1.9993285840748793E-2</v>
      </c>
      <c r="M85" s="4">
        <f t="shared" ca="1" si="17"/>
        <v>289.597470210155</v>
      </c>
    </row>
    <row r="86" spans="1:13" x14ac:dyDescent="0.2">
      <c r="A86">
        <v>85</v>
      </c>
      <c r="B86" s="1">
        <v>242.75</v>
      </c>
      <c r="C86" s="1">
        <v>11.28</v>
      </c>
      <c r="D86" s="1">
        <v>214.05</v>
      </c>
      <c r="E86">
        <f t="shared" si="9"/>
        <v>-1.1672089101553026E-2</v>
      </c>
      <c r="F86">
        <f t="shared" si="10"/>
        <v>-1.6703685071366603E-2</v>
      </c>
      <c r="G86">
        <f t="shared" si="11"/>
        <v>7.9452251042439034E-4</v>
      </c>
      <c r="H86">
        <f t="shared" ca="1" si="12"/>
        <v>-1.1116332581868242E-2</v>
      </c>
      <c r="I86" s="4">
        <f t="shared" ca="1" si="13"/>
        <v>244.51334469117626</v>
      </c>
      <c r="J86">
        <f t="shared" ca="1" si="14"/>
        <v>-9.6664881419834207E-4</v>
      </c>
      <c r="K86" s="4">
        <f t="shared" ca="1" si="15"/>
        <v>9.200598998280114</v>
      </c>
      <c r="L86">
        <f t="shared" ca="1" si="16"/>
        <v>5.9764119572501544E-2</v>
      </c>
      <c r="M86" s="4">
        <f t="shared" ca="1" si="17"/>
        <v>307.4326517575164</v>
      </c>
    </row>
    <row r="87" spans="1:13" x14ac:dyDescent="0.2">
      <c r="A87">
        <v>86</v>
      </c>
      <c r="B87" s="1">
        <v>241.33</v>
      </c>
      <c r="C87" s="1">
        <v>11.08</v>
      </c>
      <c r="D87" s="1">
        <v>211.27</v>
      </c>
      <c r="E87">
        <f t="shared" si="9"/>
        <v>-5.8668157039124388E-3</v>
      </c>
      <c r="F87">
        <f t="shared" si="10"/>
        <v>-1.7889564750775057E-2</v>
      </c>
      <c r="G87">
        <f t="shared" si="11"/>
        <v>-1.3072696278811793E-2</v>
      </c>
      <c r="H87">
        <f t="shared" ca="1" si="12"/>
        <v>-2.07655973855215E-2</v>
      </c>
      <c r="I87" s="4">
        <f t="shared" ca="1" si="13"/>
        <v>239.48823430138921</v>
      </c>
      <c r="J87">
        <f t="shared" ca="1" si="14"/>
        <v>-1.3617117702430445E-2</v>
      </c>
      <c r="K87" s="4">
        <f t="shared" ca="1" si="15"/>
        <v>9.0761625147155058</v>
      </c>
      <c r="L87">
        <f t="shared" ca="1" si="16"/>
        <v>4.0529906590717549E-3</v>
      </c>
      <c r="M87" s="4">
        <f t="shared" ca="1" si="17"/>
        <v>308.68120189527326</v>
      </c>
    </row>
    <row r="88" spans="1:13" x14ac:dyDescent="0.2">
      <c r="A88">
        <v>87</v>
      </c>
      <c r="B88" s="1">
        <v>242.91</v>
      </c>
      <c r="C88" s="1">
        <v>10.87</v>
      </c>
      <c r="D88" s="1">
        <v>209.05</v>
      </c>
      <c r="E88">
        <f t="shared" si="9"/>
        <v>6.5257128986108016E-3</v>
      </c>
      <c r="F88">
        <f t="shared" si="10"/>
        <v>-1.9134980186019723E-2</v>
      </c>
      <c r="G88">
        <f t="shared" si="11"/>
        <v>-1.0563478509569259E-2</v>
      </c>
      <c r="H88">
        <f t="shared" ca="1" si="12"/>
        <v>-1.7427723830271528E-2</v>
      </c>
      <c r="I88" s="4">
        <f t="shared" ca="1" si="13"/>
        <v>235.35065848117623</v>
      </c>
      <c r="J88">
        <f t="shared" ca="1" si="14"/>
        <v>-2.3960826831491339E-2</v>
      </c>
      <c r="K88" s="4">
        <f t="shared" ca="1" si="15"/>
        <v>8.8612748799723438</v>
      </c>
      <c r="L88">
        <f t="shared" ca="1" si="16"/>
        <v>1.3517984536053712E-2</v>
      </c>
      <c r="M88" s="4">
        <f t="shared" ca="1" si="17"/>
        <v>312.88228069438446</v>
      </c>
    </row>
    <row r="89" spans="1:13" x14ac:dyDescent="0.2">
      <c r="A89">
        <v>88</v>
      </c>
      <c r="B89" s="1">
        <v>241.62</v>
      </c>
      <c r="C89" s="1">
        <v>11.07</v>
      </c>
      <c r="D89" s="1">
        <v>207.57</v>
      </c>
      <c r="E89">
        <f t="shared" si="9"/>
        <v>-5.3247602747148893E-3</v>
      </c>
      <c r="F89">
        <f t="shared" si="10"/>
        <v>1.8232045587427425E-2</v>
      </c>
      <c r="G89">
        <f t="shared" si="11"/>
        <v>-7.104825623744683E-3</v>
      </c>
      <c r="H89">
        <f t="shared" ca="1" si="12"/>
        <v>1.0450541849722097E-2</v>
      </c>
      <c r="I89" s="4">
        <f t="shared" ca="1" si="13"/>
        <v>237.82309704634307</v>
      </c>
      <c r="J89">
        <f t="shared" ca="1" si="14"/>
        <v>4.9401024462529175E-3</v>
      </c>
      <c r="K89" s="4">
        <f t="shared" ca="1" si="15"/>
        <v>8.9051587919468105</v>
      </c>
      <c r="L89">
        <f t="shared" ca="1" si="16"/>
        <v>-9.5056536508898431E-3</v>
      </c>
      <c r="M89" s="4">
        <f t="shared" ca="1" si="17"/>
        <v>309.92222104011978</v>
      </c>
    </row>
    <row r="90" spans="1:13" x14ac:dyDescent="0.2">
      <c r="A90">
        <v>89</v>
      </c>
      <c r="B90" s="1">
        <v>235.21</v>
      </c>
      <c r="C90" s="1">
        <v>10.82</v>
      </c>
      <c r="D90" s="1">
        <v>202.38</v>
      </c>
      <c r="E90">
        <f t="shared" si="9"/>
        <v>-2.6887511963965476E-2</v>
      </c>
      <c r="F90">
        <f t="shared" si="10"/>
        <v>-2.2842473302210096E-2</v>
      </c>
      <c r="G90">
        <f t="shared" si="11"/>
        <v>-2.5321513877215478E-2</v>
      </c>
      <c r="H90">
        <f t="shared" ca="1" si="12"/>
        <v>1.9644064437879968E-2</v>
      </c>
      <c r="I90" s="4">
        <f t="shared" ca="1" si="13"/>
        <v>242.54109792836013</v>
      </c>
      <c r="J90">
        <f t="shared" ca="1" si="14"/>
        <v>-9.079916101510415E-3</v>
      </c>
      <c r="K90" s="4">
        <f t="shared" ca="1" si="15"/>
        <v>8.8246666810648779</v>
      </c>
      <c r="L90">
        <f t="shared" ca="1" si="16"/>
        <v>-1.0105175132150633E-2</v>
      </c>
      <c r="M90" s="4">
        <f t="shared" ca="1" si="17"/>
        <v>306.8061733391429</v>
      </c>
    </row>
    <row r="91" spans="1:13" x14ac:dyDescent="0.2">
      <c r="A91">
        <v>90</v>
      </c>
      <c r="B91" s="1">
        <v>239</v>
      </c>
      <c r="C91" s="1">
        <v>10.95</v>
      </c>
      <c r="D91" s="1">
        <v>203.35</v>
      </c>
      <c r="E91">
        <f t="shared" si="9"/>
        <v>1.5984819804058345E-2</v>
      </c>
      <c r="F91">
        <f t="shared" si="10"/>
        <v>1.1943182844174186E-2</v>
      </c>
      <c r="G91">
        <f t="shared" si="11"/>
        <v>4.7815140516196241E-3</v>
      </c>
      <c r="H91">
        <f t="shared" ca="1" si="12"/>
        <v>-4.970218178558132E-3</v>
      </c>
      <c r="I91" s="4">
        <f t="shared" ca="1" si="13"/>
        <v>241.33860655207269</v>
      </c>
      <c r="J91">
        <f t="shared" ca="1" si="14"/>
        <v>-2.2788504563269776E-2</v>
      </c>
      <c r="K91" s="4">
        <f t="shared" ca="1" si="15"/>
        <v>8.6258398120622743</v>
      </c>
      <c r="L91">
        <f t="shared" ca="1" si="16"/>
        <v>-3.5112038940588633E-2</v>
      </c>
      <c r="M91" s="4">
        <f t="shared" ca="1" si="17"/>
        <v>296.22051262586234</v>
      </c>
    </row>
    <row r="92" spans="1:13" x14ac:dyDescent="0.2">
      <c r="A92">
        <v>91</v>
      </c>
      <c r="B92" s="1">
        <v>232.47</v>
      </c>
      <c r="C92" s="1">
        <v>11.06</v>
      </c>
      <c r="D92" s="1">
        <v>202.92</v>
      </c>
      <c r="E92">
        <f t="shared" si="9"/>
        <v>-2.7702367487542214E-2</v>
      </c>
      <c r="F92">
        <f t="shared" si="10"/>
        <v>9.9955398316790567E-3</v>
      </c>
      <c r="G92">
        <f t="shared" si="11"/>
        <v>-2.1168196547443788E-3</v>
      </c>
      <c r="H92">
        <f t="shared" ca="1" si="12"/>
        <v>7.3606404113303985E-3</v>
      </c>
      <c r="I92" s="4">
        <f t="shared" ca="1" si="13"/>
        <v>243.12156706797168</v>
      </c>
      <c r="J92">
        <f t="shared" ca="1" si="14"/>
        <v>8.4675027010541019E-3</v>
      </c>
      <c r="K92" s="4">
        <f t="shared" ca="1" si="15"/>
        <v>8.6991892389511669</v>
      </c>
      <c r="L92">
        <f t="shared" ca="1" si="16"/>
        <v>-9.1451570608716143E-3</v>
      </c>
      <c r="M92" s="4">
        <f t="shared" ca="1" si="17"/>
        <v>293.52387887697125</v>
      </c>
    </row>
    <row r="93" spans="1:13" x14ac:dyDescent="0.2">
      <c r="A93">
        <v>92</v>
      </c>
      <c r="B93" s="1">
        <v>231.37</v>
      </c>
      <c r="C93" s="1">
        <v>11.21</v>
      </c>
      <c r="D93" s="1">
        <v>213.25</v>
      </c>
      <c r="E93">
        <f t="shared" si="9"/>
        <v>-4.7430237243777417E-3</v>
      </c>
      <c r="F93">
        <f t="shared" si="10"/>
        <v>1.3471240989879779E-2</v>
      </c>
      <c r="G93">
        <f t="shared" si="11"/>
        <v>4.9653373673299327E-2</v>
      </c>
      <c r="H93">
        <f t="shared" ca="1" si="12"/>
        <v>-1.9859658534699062E-2</v>
      </c>
      <c r="I93" s="4">
        <f t="shared" ca="1" si="13"/>
        <v>238.34088425418383</v>
      </c>
      <c r="J93">
        <f t="shared" ca="1" si="14"/>
        <v>-5.750306187067288E-3</v>
      </c>
      <c r="K93" s="4">
        <f t="shared" ca="1" si="15"/>
        <v>8.6493097857549639</v>
      </c>
      <c r="L93">
        <f t="shared" ca="1" si="16"/>
        <v>8.9200294714310863E-3</v>
      </c>
      <c r="M93" s="4">
        <f t="shared" ca="1" si="17"/>
        <v>296.15383272193668</v>
      </c>
    </row>
    <row r="94" spans="1:13" x14ac:dyDescent="0.2">
      <c r="A94">
        <v>93</v>
      </c>
      <c r="B94" s="1">
        <v>242.62</v>
      </c>
      <c r="C94" s="1">
        <v>11.28</v>
      </c>
      <c r="D94" s="1">
        <v>220.03</v>
      </c>
      <c r="E94">
        <f t="shared" si="9"/>
        <v>4.7478272623182598E-2</v>
      </c>
      <c r="F94">
        <f t="shared" si="10"/>
        <v>6.2250089858442333E-3</v>
      </c>
      <c r="G94">
        <f t="shared" si="11"/>
        <v>3.1298714320261108E-2</v>
      </c>
      <c r="H94">
        <f t="shared" ca="1" si="12"/>
        <v>4.4993576503320282E-2</v>
      </c>
      <c r="I94" s="4">
        <f t="shared" ca="1" si="13"/>
        <v>249.30960364060047</v>
      </c>
      <c r="J94">
        <f t="shared" ca="1" si="14"/>
        <v>-1.6558794182911043E-3</v>
      </c>
      <c r="K94" s="4">
        <f t="shared" ca="1" si="15"/>
        <v>8.6349994230856559</v>
      </c>
      <c r="L94">
        <f t="shared" ca="1" si="16"/>
        <v>-4.7590679308761197E-3</v>
      </c>
      <c r="M94" s="4">
        <f t="shared" ca="1" si="17"/>
        <v>294.74776495383838</v>
      </c>
    </row>
    <row r="95" spans="1:13" x14ac:dyDescent="0.2">
      <c r="A95">
        <v>94</v>
      </c>
      <c r="B95" s="1">
        <v>241.83</v>
      </c>
      <c r="C95" s="1">
        <v>11.32</v>
      </c>
      <c r="D95" s="1">
        <v>229.35</v>
      </c>
      <c r="E95">
        <f t="shared" si="9"/>
        <v>-3.2614333791540131E-3</v>
      </c>
      <c r="F95">
        <f t="shared" si="10"/>
        <v>3.539826705124208E-3</v>
      </c>
      <c r="G95">
        <f t="shared" si="11"/>
        <v>4.1485320351131408E-2</v>
      </c>
      <c r="H95">
        <f t="shared" ca="1" si="12"/>
        <v>-5.7303727698851895E-3</v>
      </c>
      <c r="I95" s="4">
        <f t="shared" ca="1" si="13"/>
        <v>247.88505218026097</v>
      </c>
      <c r="J95">
        <f t="shared" ca="1" si="14"/>
        <v>4.9300380282581921E-3</v>
      </c>
      <c r="K95" s="4">
        <f t="shared" ca="1" si="15"/>
        <v>8.677675409295313</v>
      </c>
      <c r="L95">
        <f t="shared" ca="1" si="16"/>
        <v>3.6072253470383515E-2</v>
      </c>
      <c r="M95" s="4">
        <f t="shared" ca="1" si="17"/>
        <v>305.57407176905838</v>
      </c>
    </row>
    <row r="96" spans="1:13" x14ac:dyDescent="0.2">
      <c r="A96">
        <v>95</v>
      </c>
      <c r="B96" s="1">
        <v>242.09</v>
      </c>
      <c r="C96" s="1">
        <v>11.14</v>
      </c>
      <c r="D96" s="1">
        <v>227.18</v>
      </c>
      <c r="E96">
        <f t="shared" si="9"/>
        <v>1.0745578815420573E-3</v>
      </c>
      <c r="F96">
        <f t="shared" si="10"/>
        <v>-1.6028838275898915E-2</v>
      </c>
      <c r="G96">
        <f t="shared" si="11"/>
        <v>-9.506566239905357E-3</v>
      </c>
      <c r="H96">
        <f t="shared" ca="1" si="12"/>
        <v>3.5128765165410421E-2</v>
      </c>
      <c r="I96" s="4">
        <f t="shared" ca="1" si="13"/>
        <v>256.74770358681519</v>
      </c>
      <c r="J96">
        <f t="shared" ca="1" si="14"/>
        <v>-9.4771585136834979E-3</v>
      </c>
      <c r="K96" s="4">
        <f t="shared" ca="1" si="15"/>
        <v>8.5958241751035427</v>
      </c>
      <c r="L96">
        <f t="shared" ca="1" si="16"/>
        <v>7.6924403634216322E-3</v>
      </c>
      <c r="M96" s="4">
        <f t="shared" ca="1" si="17"/>
        <v>307.933746284628</v>
      </c>
    </row>
    <row r="97" spans="1:13" x14ac:dyDescent="0.2">
      <c r="A97">
        <v>96</v>
      </c>
      <c r="B97" s="1">
        <v>244.29</v>
      </c>
      <c r="C97" s="1">
        <v>11.25</v>
      </c>
      <c r="D97" s="1">
        <v>229.65</v>
      </c>
      <c r="E97">
        <f t="shared" si="9"/>
        <v>9.0464863019880989E-3</v>
      </c>
      <c r="F97">
        <f t="shared" si="10"/>
        <v>9.8258941512912E-3</v>
      </c>
      <c r="G97">
        <f t="shared" si="11"/>
        <v>1.0813755968526953E-2</v>
      </c>
      <c r="H97">
        <f t="shared" ca="1" si="12"/>
        <v>1.0246449576129586E-2</v>
      </c>
      <c r="I97" s="4">
        <f t="shared" ca="1" si="13"/>
        <v>259.39198007313024</v>
      </c>
      <c r="J97">
        <f t="shared" ca="1" si="14"/>
        <v>8.6380834364542664E-3</v>
      </c>
      <c r="K97" s="4">
        <f t="shared" ca="1" si="15"/>
        <v>8.6703972420224869</v>
      </c>
      <c r="L97">
        <f t="shared" ca="1" si="16"/>
        <v>-3.519442032766603E-2</v>
      </c>
      <c r="M97" s="4">
        <f t="shared" ca="1" si="17"/>
        <v>297.28468945525077</v>
      </c>
    </row>
    <row r="98" spans="1:13" x14ac:dyDescent="0.2">
      <c r="A98">
        <v>97</v>
      </c>
      <c r="B98" s="1">
        <v>241.44</v>
      </c>
      <c r="C98" s="1">
        <v>11.44</v>
      </c>
      <c r="D98" s="1">
        <v>233.33</v>
      </c>
      <c r="E98">
        <f t="shared" si="9"/>
        <v>-1.1735049127610796E-2</v>
      </c>
      <c r="F98">
        <f t="shared" si="10"/>
        <v>1.6747857301222763E-2</v>
      </c>
      <c r="G98">
        <f t="shared" si="11"/>
        <v>1.5897349787165019E-2</v>
      </c>
      <c r="H98">
        <f t="shared" ca="1" si="12"/>
        <v>-1.7830703951480911E-2</v>
      </c>
      <c r="I98" s="4">
        <f t="shared" ca="1" si="13"/>
        <v>254.80782924137475</v>
      </c>
      <c r="J98">
        <f t="shared" ca="1" si="14"/>
        <v>1.0122311651671118E-2</v>
      </c>
      <c r="K98" s="4">
        <f t="shared" ca="1" si="15"/>
        <v>8.7586073972156893</v>
      </c>
      <c r="L98">
        <f t="shared" ca="1" si="16"/>
        <v>2.1464397727877411E-2</v>
      </c>
      <c r="M98" s="4">
        <f t="shared" ca="1" si="17"/>
        <v>303.73470144370407</v>
      </c>
    </row>
    <row r="99" spans="1:13" x14ac:dyDescent="0.2">
      <c r="A99">
        <v>98</v>
      </c>
      <c r="B99" s="1">
        <v>241</v>
      </c>
      <c r="C99" s="1">
        <v>11.44</v>
      </c>
      <c r="D99" s="1">
        <v>232.78</v>
      </c>
      <c r="E99">
        <f t="shared" si="9"/>
        <v>-1.8240615288837674E-3</v>
      </c>
      <c r="F99">
        <f t="shared" si="10"/>
        <v>0</v>
      </c>
      <c r="G99">
        <f t="shared" si="11"/>
        <v>-2.3599590451372499E-3</v>
      </c>
      <c r="H99">
        <f t="shared" ca="1" si="12"/>
        <v>-1.2944054575241557E-2</v>
      </c>
      <c r="I99" s="4">
        <f t="shared" ca="1" si="13"/>
        <v>251.53083732902911</v>
      </c>
      <c r="J99">
        <f t="shared" ca="1" si="14"/>
        <v>9.8874187814404213E-3</v>
      </c>
      <c r="K99" s="4">
        <f t="shared" ca="1" si="15"/>
        <v>8.8456369563356034</v>
      </c>
      <c r="L99">
        <f t="shared" ca="1" si="16"/>
        <v>4.5459619059712741E-2</v>
      </c>
      <c r="M99" s="4">
        <f t="shared" ca="1" si="17"/>
        <v>317.86102114595298</v>
      </c>
    </row>
    <row r="100" spans="1:13" x14ac:dyDescent="0.2">
      <c r="A100">
        <v>99</v>
      </c>
      <c r="B100" s="1">
        <v>238.88</v>
      </c>
      <c r="C100" s="1">
        <v>11.44</v>
      </c>
      <c r="D100" s="1">
        <v>231.59</v>
      </c>
      <c r="E100">
        <f t="shared" si="9"/>
        <v>-8.8355996997747984E-3</v>
      </c>
      <c r="F100">
        <f t="shared" si="10"/>
        <v>0</v>
      </c>
      <c r="G100">
        <f t="shared" si="11"/>
        <v>-5.1252346401009499E-3</v>
      </c>
      <c r="H100">
        <f t="shared" ca="1" si="12"/>
        <v>-5.7139948414446987E-3</v>
      </c>
      <c r="I100" s="4">
        <f t="shared" ca="1" si="13"/>
        <v>250.09768982012523</v>
      </c>
      <c r="J100">
        <f t="shared" ca="1" si="14"/>
        <v>-3.4537821437353886E-2</v>
      </c>
      <c r="K100" s="4">
        <f t="shared" ca="1" si="15"/>
        <v>8.5453435173292576</v>
      </c>
      <c r="L100">
        <f t="shared" ca="1" si="16"/>
        <v>2.3308553534034982E-2</v>
      </c>
      <c r="M100" s="4">
        <f t="shared" ca="1" si="17"/>
        <v>325.35692170672343</v>
      </c>
    </row>
    <row r="101" spans="1:13" x14ac:dyDescent="0.2">
      <c r="A101">
        <v>100</v>
      </c>
      <c r="B101" s="1">
        <v>241.41</v>
      </c>
      <c r="C101" s="1">
        <v>11.46</v>
      </c>
      <c r="D101" s="1">
        <v>230.89</v>
      </c>
      <c r="E101">
        <f t="shared" si="9"/>
        <v>1.0535399035270916E-2</v>
      </c>
      <c r="F101">
        <f t="shared" si="10"/>
        <v>1.7467253349418002E-3</v>
      </c>
      <c r="G101">
        <f t="shared" si="11"/>
        <v>-3.0271602428172274E-3</v>
      </c>
      <c r="H101">
        <f t="shared" ca="1" si="12"/>
        <v>6.7373633062192365E-2</v>
      </c>
      <c r="I101" s="4">
        <f t="shared" ca="1" si="13"/>
        <v>267.52826756103514</v>
      </c>
      <c r="J101">
        <f t="shared" ca="1" si="14"/>
        <v>2.3013958775141417E-2</v>
      </c>
      <c r="K101" s="4">
        <f t="shared" ca="1" si="15"/>
        <v>8.7442861488919856</v>
      </c>
      <c r="L101">
        <f t="shared" ca="1" si="16"/>
        <v>1.3465018882046756E-2</v>
      </c>
      <c r="M101" s="4">
        <f t="shared" ca="1" si="17"/>
        <v>329.76748633032366</v>
      </c>
    </row>
    <row r="102" spans="1:13" x14ac:dyDescent="0.2">
      <c r="A102">
        <v>101</v>
      </c>
      <c r="B102" s="1">
        <v>232.7</v>
      </c>
      <c r="C102" s="1">
        <v>11.58</v>
      </c>
      <c r="D102" s="1">
        <v>230.56</v>
      </c>
      <c r="E102">
        <f t="shared" si="9"/>
        <v>-3.674666251790517E-2</v>
      </c>
      <c r="F102">
        <f t="shared" si="10"/>
        <v>1.041676085825558E-2</v>
      </c>
      <c r="G102">
        <f t="shared" si="11"/>
        <v>-1.430274379700124E-3</v>
      </c>
      <c r="H102">
        <f t="shared" ca="1" si="12"/>
        <v>-2.6306046806848848E-2</v>
      </c>
      <c r="I102" s="4">
        <f t="shared" ca="1" si="13"/>
        <v>260.58241592571443</v>
      </c>
      <c r="J102">
        <f t="shared" ca="1" si="14"/>
        <v>-1.5751724243270166E-2</v>
      </c>
      <c r="K102" s="4">
        <f t="shared" ca="1" si="15"/>
        <v>8.6076276935160791</v>
      </c>
      <c r="L102">
        <f t="shared" ca="1" si="16"/>
        <v>1.7310246547380177E-2</v>
      </c>
      <c r="M102" s="4">
        <f t="shared" ca="1" si="17"/>
        <v>335.5255356688541</v>
      </c>
    </row>
    <row r="103" spans="1:13" x14ac:dyDescent="0.2">
      <c r="A103">
        <v>102</v>
      </c>
      <c r="B103" s="1">
        <v>228.6</v>
      </c>
      <c r="C103" s="1">
        <v>11.49</v>
      </c>
      <c r="D103" s="1">
        <v>226.01</v>
      </c>
      <c r="E103">
        <f t="shared" si="9"/>
        <v>-1.7776318947535709E-2</v>
      </c>
      <c r="F103">
        <f t="shared" si="10"/>
        <v>-7.802380284184899E-3</v>
      </c>
      <c r="G103">
        <f t="shared" si="11"/>
        <v>-1.9931886170219938E-2</v>
      </c>
      <c r="H103">
        <f t="shared" ca="1" si="12"/>
        <v>3.2042806287404311E-3</v>
      </c>
      <c r="I103" s="4">
        <f t="shared" ca="1" si="13"/>
        <v>261.41873429706516</v>
      </c>
      <c r="J103">
        <f t="shared" ca="1" si="14"/>
        <v>1.3357958872413937E-3</v>
      </c>
      <c r="K103" s="4">
        <f t="shared" ca="1" si="15"/>
        <v>8.6191334101215915</v>
      </c>
      <c r="L103">
        <f t="shared" ca="1" si="16"/>
        <v>1.5186672712826994E-2</v>
      </c>
      <c r="M103" s="4">
        <f t="shared" ca="1" si="17"/>
        <v>340.65994074986406</v>
      </c>
    </row>
    <row r="104" spans="1:13" x14ac:dyDescent="0.2">
      <c r="A104">
        <v>103</v>
      </c>
      <c r="B104" s="1">
        <v>227.33</v>
      </c>
      <c r="C104" s="1">
        <v>11.33</v>
      </c>
      <c r="D104" s="1">
        <v>224.9</v>
      </c>
      <c r="E104">
        <f t="shared" si="9"/>
        <v>-5.5710450494552482E-3</v>
      </c>
      <c r="F104">
        <f t="shared" si="10"/>
        <v>-1.40230168207494E-2</v>
      </c>
      <c r="G104">
        <f t="shared" si="11"/>
        <v>-4.9233871157219602E-3</v>
      </c>
      <c r="H104">
        <f t="shared" ca="1" si="12"/>
        <v>1.7773921977954577E-2</v>
      </c>
      <c r="I104" s="4">
        <f t="shared" ca="1" si="13"/>
        <v>266.10670891650892</v>
      </c>
      <c r="J104">
        <f t="shared" ca="1" si="14"/>
        <v>3.0175370550528161E-2</v>
      </c>
      <c r="K104" s="4">
        <f t="shared" ca="1" si="15"/>
        <v>8.8831828132780348</v>
      </c>
      <c r="L104">
        <f t="shared" ca="1" si="16"/>
        <v>1.6954911872419418E-2</v>
      </c>
      <c r="M104" s="4">
        <f t="shared" ca="1" si="17"/>
        <v>346.48504252331907</v>
      </c>
    </row>
    <row r="105" spans="1:13" x14ac:dyDescent="0.2">
      <c r="A105">
        <v>104</v>
      </c>
      <c r="B105" s="1">
        <v>232.99</v>
      </c>
      <c r="C105" s="1">
        <v>11.74</v>
      </c>
      <c r="D105" s="1">
        <v>227.76</v>
      </c>
      <c r="E105">
        <f t="shared" si="9"/>
        <v>2.4592827878486743E-2</v>
      </c>
      <c r="F105">
        <f t="shared" si="10"/>
        <v>3.5547739360035351E-2</v>
      </c>
      <c r="G105">
        <f t="shared" si="11"/>
        <v>1.2636584004512057E-2</v>
      </c>
      <c r="H105">
        <f t="shared" ca="1" si="12"/>
        <v>-2.8991017254303385E-2</v>
      </c>
      <c r="I105" s="4">
        <f t="shared" ca="1" si="13"/>
        <v>258.50276040064836</v>
      </c>
      <c r="J105">
        <f t="shared" ca="1" si="14"/>
        <v>1.0516153189832025E-2</v>
      </c>
      <c r="K105" s="4">
        <f t="shared" ca="1" si="15"/>
        <v>8.977092644188021</v>
      </c>
      <c r="L105">
        <f t="shared" ca="1" si="16"/>
        <v>-1.7281442435146364E-2</v>
      </c>
      <c r="M105" s="4">
        <f t="shared" ca="1" si="17"/>
        <v>340.54872302669355</v>
      </c>
    </row>
    <row r="106" spans="1:13" x14ac:dyDescent="0.2">
      <c r="A106">
        <v>105</v>
      </c>
      <c r="B106" s="1">
        <v>235.59</v>
      </c>
      <c r="C106" s="1">
        <v>11.82</v>
      </c>
      <c r="D106" s="1">
        <v>227.16</v>
      </c>
      <c r="E106">
        <f t="shared" si="9"/>
        <v>1.1097471865151323E-2</v>
      </c>
      <c r="F106">
        <f t="shared" si="10"/>
        <v>6.7911975780017555E-3</v>
      </c>
      <c r="G106">
        <f t="shared" si="11"/>
        <v>-2.6378279605502935E-3</v>
      </c>
      <c r="H106">
        <f t="shared" ca="1" si="12"/>
        <v>-9.3447325819921278E-3</v>
      </c>
      <c r="I106" s="4">
        <f t="shared" ca="1" si="13"/>
        <v>256.09837290877277</v>
      </c>
      <c r="J106">
        <f t="shared" ca="1" si="14"/>
        <v>2.8558412990926672E-2</v>
      </c>
      <c r="K106" s="4">
        <f t="shared" ca="1" si="15"/>
        <v>9.2371600441812252</v>
      </c>
      <c r="L106">
        <f t="shared" ca="1" si="16"/>
        <v>-5.8780243361847154E-3</v>
      </c>
      <c r="M106" s="4">
        <f t="shared" ca="1" si="17"/>
        <v>338.55284101327777</v>
      </c>
    </row>
    <row r="107" spans="1:13" x14ac:dyDescent="0.2">
      <c r="A107">
        <v>106</v>
      </c>
      <c r="B107" s="1">
        <v>238.72</v>
      </c>
      <c r="C107" s="1">
        <v>11.84</v>
      </c>
      <c r="D107" s="1">
        <v>229.31</v>
      </c>
      <c r="E107">
        <f t="shared" si="9"/>
        <v>1.3198310960503145E-2</v>
      </c>
      <c r="F107">
        <f t="shared" si="10"/>
        <v>1.6906174779074521E-3</v>
      </c>
      <c r="G107">
        <f t="shared" si="11"/>
        <v>9.4201848936647913E-3</v>
      </c>
      <c r="H107">
        <f t="shared" ca="1" si="12"/>
        <v>1.165770001046596E-2</v>
      </c>
      <c r="I107" s="4">
        <f t="shared" ca="1" si="13"/>
        <v>259.10136087045333</v>
      </c>
      <c r="J107">
        <f t="shared" ca="1" si="14"/>
        <v>3.6640338920717352E-3</v>
      </c>
      <c r="K107" s="4">
        <f t="shared" ca="1" si="15"/>
        <v>9.2710673925521618</v>
      </c>
      <c r="L107">
        <f t="shared" ca="1" si="16"/>
        <v>1.4283301436023355E-2</v>
      </c>
      <c r="M107" s="4">
        <f t="shared" ca="1" si="17"/>
        <v>343.42319284428942</v>
      </c>
    </row>
    <row r="108" spans="1:13" x14ac:dyDescent="0.2">
      <c r="A108">
        <v>107</v>
      </c>
      <c r="B108" s="1">
        <v>239.29</v>
      </c>
      <c r="C108" s="1">
        <v>11.91</v>
      </c>
      <c r="D108" s="1">
        <v>230.49</v>
      </c>
      <c r="E108">
        <f t="shared" si="9"/>
        <v>2.3848884758284079E-3</v>
      </c>
      <c r="F108">
        <f t="shared" si="10"/>
        <v>5.8947539113492322E-3</v>
      </c>
      <c r="G108">
        <f t="shared" si="11"/>
        <v>5.1326776447566114E-3</v>
      </c>
      <c r="H108">
        <f t="shared" ca="1" si="12"/>
        <v>-3.9182921402166788E-2</v>
      </c>
      <c r="I108" s="4">
        <f t="shared" ca="1" si="13"/>
        <v>249.14533937463995</v>
      </c>
      <c r="J108">
        <f t="shared" ca="1" si="14"/>
        <v>2.3984033276560008E-5</v>
      </c>
      <c r="K108" s="4">
        <f t="shared" ca="1" si="15"/>
        <v>9.2712897528075509</v>
      </c>
      <c r="L108">
        <f t="shared" ca="1" si="16"/>
        <v>3.1243017359086625E-3</v>
      </c>
      <c r="M108" s="4">
        <f t="shared" ca="1" si="17"/>
        <v>344.49782839054575</v>
      </c>
    </row>
    <row r="109" spans="1:13" x14ac:dyDescent="0.2">
      <c r="A109">
        <v>108</v>
      </c>
      <c r="B109" s="1">
        <v>238.27</v>
      </c>
      <c r="C109" s="1">
        <v>11.71</v>
      </c>
      <c r="D109" s="1">
        <v>232.56</v>
      </c>
      <c r="E109">
        <f t="shared" si="9"/>
        <v>-4.2717210446669646E-3</v>
      </c>
      <c r="F109">
        <f t="shared" si="10"/>
        <v>-1.6935205757582696E-2</v>
      </c>
      <c r="G109">
        <f t="shared" si="11"/>
        <v>8.9407787029671757E-3</v>
      </c>
      <c r="H109">
        <f t="shared" ca="1" si="12"/>
        <v>1.6511139753513291E-2</v>
      </c>
      <c r="I109" s="4">
        <f t="shared" ca="1" si="13"/>
        <v>253.29316129530321</v>
      </c>
      <c r="J109">
        <f t="shared" ca="1" si="14"/>
        <v>1.644515759817556E-2</v>
      </c>
      <c r="K109" s="4">
        <f t="shared" ca="1" si="15"/>
        <v>9.4250181532660449</v>
      </c>
      <c r="L109">
        <f t="shared" ca="1" si="16"/>
        <v>7.5396924718881047E-3</v>
      </c>
      <c r="M109" s="4">
        <f t="shared" ca="1" si="17"/>
        <v>347.1050525570011</v>
      </c>
    </row>
    <row r="110" spans="1:13" x14ac:dyDescent="0.2">
      <c r="A110">
        <v>109</v>
      </c>
      <c r="B110" s="1">
        <v>230.87</v>
      </c>
      <c r="C110" s="1">
        <v>11.77</v>
      </c>
      <c r="D110" s="1">
        <v>232.14</v>
      </c>
      <c r="E110">
        <f t="shared" si="9"/>
        <v>-3.154970290232461E-2</v>
      </c>
      <c r="F110">
        <f t="shared" si="10"/>
        <v>5.1107436625593312E-3</v>
      </c>
      <c r="G110">
        <f t="shared" si="11"/>
        <v>-1.8076183101439452E-3</v>
      </c>
      <c r="H110">
        <f t="shared" ca="1" si="12"/>
        <v>6.2609309337553791E-3</v>
      </c>
      <c r="I110" s="4">
        <f t="shared" ca="1" si="13"/>
        <v>254.88398711285564</v>
      </c>
      <c r="J110">
        <f t="shared" ca="1" si="14"/>
        <v>4.2283397030466983E-2</v>
      </c>
      <c r="K110" s="4">
        <f t="shared" ca="1" si="15"/>
        <v>9.8320853831786117</v>
      </c>
      <c r="L110">
        <f t="shared" ca="1" si="16"/>
        <v>-3.6989774113737557E-2</v>
      </c>
      <c r="M110" s="4">
        <f t="shared" ca="1" si="17"/>
        <v>334.5002761525505</v>
      </c>
    </row>
    <row r="111" spans="1:13" x14ac:dyDescent="0.2">
      <c r="A111">
        <v>110</v>
      </c>
      <c r="B111" s="1">
        <v>228.39</v>
      </c>
      <c r="C111" s="1">
        <v>11.72</v>
      </c>
      <c r="D111" s="1">
        <v>229.72</v>
      </c>
      <c r="E111">
        <f t="shared" si="9"/>
        <v>-1.0800087558002096E-2</v>
      </c>
      <c r="F111">
        <f t="shared" si="10"/>
        <v>-4.2571371233187218E-3</v>
      </c>
      <c r="G111">
        <f t="shared" si="11"/>
        <v>-1.0479461944380755E-2</v>
      </c>
      <c r="H111">
        <f t="shared" ca="1" si="12"/>
        <v>-4.0168688126676289E-2</v>
      </c>
      <c r="I111" s="4">
        <f t="shared" ca="1" si="13"/>
        <v>244.84853650226435</v>
      </c>
      <c r="J111">
        <f t="shared" ca="1" si="14"/>
        <v>-8.9310164265328854E-3</v>
      </c>
      <c r="K111" s="4">
        <f t="shared" ca="1" si="15"/>
        <v>9.7446658209576356</v>
      </c>
      <c r="L111">
        <f t="shared" ca="1" si="16"/>
        <v>-6.3077187506674721E-3</v>
      </c>
      <c r="M111" s="4">
        <f t="shared" ca="1" si="17"/>
        <v>332.39698295322995</v>
      </c>
    </row>
    <row r="112" spans="1:13" x14ac:dyDescent="0.2">
      <c r="A112">
        <v>111</v>
      </c>
      <c r="B112" s="1">
        <v>231.39</v>
      </c>
      <c r="C112" s="1">
        <v>11.62</v>
      </c>
      <c r="D112" s="1">
        <v>238.47</v>
      </c>
      <c r="E112">
        <f t="shared" si="9"/>
        <v>1.3049904627786473E-2</v>
      </c>
      <c r="F112">
        <f t="shared" si="10"/>
        <v>-8.5690327251015143E-3</v>
      </c>
      <c r="G112">
        <f t="shared" si="11"/>
        <v>3.738234025703522E-2</v>
      </c>
      <c r="H112">
        <f t="shared" ca="1" si="12"/>
        <v>4.3844333710981891E-2</v>
      </c>
      <c r="I112" s="4">
        <f t="shared" ca="1" si="13"/>
        <v>255.82257421464391</v>
      </c>
      <c r="J112">
        <f t="shared" ca="1" si="14"/>
        <v>-1.7818987677731248E-2</v>
      </c>
      <c r="K112" s="4">
        <f t="shared" ca="1" si="15"/>
        <v>9.5725636378572858</v>
      </c>
      <c r="L112">
        <f t="shared" ca="1" si="16"/>
        <v>-2.0854187754891355E-3</v>
      </c>
      <c r="M112" s="4">
        <f t="shared" ca="1" si="17"/>
        <v>331.70451833438113</v>
      </c>
    </row>
    <row r="113" spans="1:13" x14ac:dyDescent="0.2">
      <c r="A113">
        <v>112</v>
      </c>
      <c r="B113" s="1">
        <v>235.21</v>
      </c>
      <c r="C113" s="1">
        <v>11.68</v>
      </c>
      <c r="D113" s="1">
        <v>239.78</v>
      </c>
      <c r="E113">
        <f t="shared" si="9"/>
        <v>1.6374133513434877E-2</v>
      </c>
      <c r="F113">
        <f t="shared" si="10"/>
        <v>5.1502259763158611E-3</v>
      </c>
      <c r="G113">
        <f t="shared" si="11"/>
        <v>5.4783200263767082E-3</v>
      </c>
      <c r="H113">
        <f t="shared" ca="1" si="12"/>
        <v>4.5716588318549418E-2</v>
      </c>
      <c r="I113" s="4">
        <f t="shared" ca="1" si="13"/>
        <v>267.7893658151163</v>
      </c>
      <c r="J113">
        <f t="shared" ca="1" si="14"/>
        <v>2.1220256186517836E-2</v>
      </c>
      <c r="K113" s="4">
        <f t="shared" ca="1" si="15"/>
        <v>9.7778664761073628</v>
      </c>
      <c r="L113">
        <f t="shared" ca="1" si="16"/>
        <v>5.4647592710998774E-3</v>
      </c>
      <c r="M113" s="4">
        <f t="shared" ca="1" si="17"/>
        <v>333.52216565528437</v>
      </c>
    </row>
    <row r="114" spans="1:13" x14ac:dyDescent="0.2">
      <c r="A114">
        <v>113</v>
      </c>
      <c r="B114" s="1">
        <v>243.41</v>
      </c>
      <c r="C114" s="1">
        <v>11.74</v>
      </c>
      <c r="D114" s="1">
        <v>239.69</v>
      </c>
      <c r="E114">
        <f t="shared" si="9"/>
        <v>3.4268532216370808E-2</v>
      </c>
      <c r="F114">
        <f t="shared" si="10"/>
        <v>5.1238369998694664E-3</v>
      </c>
      <c r="G114">
        <f t="shared" si="11"/>
        <v>-3.7541452460853166E-4</v>
      </c>
      <c r="H114">
        <f t="shared" ca="1" si="12"/>
        <v>-8.0639397501449054E-3</v>
      </c>
      <c r="I114" s="4">
        <f t="shared" ca="1" si="13"/>
        <v>265.63861193308048</v>
      </c>
      <c r="J114">
        <f t="shared" ca="1" si="14"/>
        <v>1.6520847275051709E-2</v>
      </c>
      <c r="K114" s="4">
        <f t="shared" ca="1" si="15"/>
        <v>9.9407468712249543</v>
      </c>
      <c r="L114">
        <f t="shared" ca="1" si="16"/>
        <v>4.8245998923796696E-4</v>
      </c>
      <c r="M114" s="4">
        <f t="shared" ca="1" si="17"/>
        <v>333.68311557856418</v>
      </c>
    </row>
    <row r="115" spans="1:13" x14ac:dyDescent="0.2">
      <c r="A115">
        <v>114</v>
      </c>
      <c r="B115" s="1">
        <v>247.19</v>
      </c>
      <c r="C115" s="1">
        <v>11.69</v>
      </c>
      <c r="D115" s="1">
        <v>237.88</v>
      </c>
      <c r="E115">
        <f t="shared" si="9"/>
        <v>1.5410007347031351E-2</v>
      </c>
      <c r="F115">
        <f t="shared" si="10"/>
        <v>-4.2680389159734048E-3</v>
      </c>
      <c r="G115">
        <f t="shared" si="11"/>
        <v>-7.5800769165061304E-3</v>
      </c>
      <c r="H115">
        <f t="shared" ca="1" si="12"/>
        <v>-2.5231393494624107E-2</v>
      </c>
      <c r="I115" s="4">
        <f t="shared" ca="1" si="13"/>
        <v>259.02002875126772</v>
      </c>
      <c r="J115">
        <f t="shared" ca="1" si="14"/>
        <v>1.7354837212592018E-3</v>
      </c>
      <c r="K115" s="4">
        <f t="shared" ca="1" si="15"/>
        <v>9.9580138545474863</v>
      </c>
      <c r="L115">
        <f t="shared" ca="1" si="16"/>
        <v>2.4525571836426202E-2</v>
      </c>
      <c r="M115" s="4">
        <f t="shared" ca="1" si="17"/>
        <v>341.96806609327587</v>
      </c>
    </row>
    <row r="116" spans="1:13" x14ac:dyDescent="0.2">
      <c r="A116">
        <v>115</v>
      </c>
      <c r="B116" s="1">
        <v>250.92</v>
      </c>
      <c r="C116" s="1">
        <v>11.49</v>
      </c>
      <c r="D116" s="1">
        <v>234.35</v>
      </c>
      <c r="E116">
        <f t="shared" si="9"/>
        <v>1.4976891537688091E-2</v>
      </c>
      <c r="F116">
        <f t="shared" si="10"/>
        <v>-1.7256683623312674E-2</v>
      </c>
      <c r="G116">
        <f t="shared" si="11"/>
        <v>-1.4950620469677826E-2</v>
      </c>
      <c r="H116">
        <f t="shared" ca="1" si="12"/>
        <v>2.2709610321181885E-2</v>
      </c>
      <c r="I116" s="4">
        <f t="shared" ca="1" si="13"/>
        <v>264.96957289154642</v>
      </c>
      <c r="J116">
        <f t="shared" ca="1" si="14"/>
        <v>-2.7337169859977032E-2</v>
      </c>
      <c r="K116" s="4">
        <f t="shared" ca="1" si="15"/>
        <v>9.6894771780866868</v>
      </c>
      <c r="L116">
        <f t="shared" ca="1" si="16"/>
        <v>7.0971237089511004E-3</v>
      </c>
      <c r="M116" s="4">
        <f t="shared" ca="1" si="17"/>
        <v>344.40368849625474</v>
      </c>
    </row>
    <row r="117" spans="1:13" x14ac:dyDescent="0.2">
      <c r="A117">
        <v>116</v>
      </c>
      <c r="B117" s="1">
        <v>260.44</v>
      </c>
      <c r="C117" s="1">
        <v>11.42</v>
      </c>
      <c r="D117" s="1">
        <v>226.79</v>
      </c>
      <c r="E117">
        <f t="shared" si="9"/>
        <v>3.7238345140118791E-2</v>
      </c>
      <c r="F117">
        <f t="shared" si="10"/>
        <v>-6.1108876328001488E-3</v>
      </c>
      <c r="G117">
        <f t="shared" si="11"/>
        <v>-3.2791245197944616E-2</v>
      </c>
      <c r="H117">
        <f t="shared" ca="1" si="12"/>
        <v>8.5608006153673269E-3</v>
      </c>
      <c r="I117" s="4">
        <f t="shared" ca="1" si="13"/>
        <v>267.24766179374814</v>
      </c>
      <c r="J117">
        <f t="shared" ca="1" si="14"/>
        <v>-2.2801001033808443E-2</v>
      </c>
      <c r="K117" s="4">
        <f t="shared" ca="1" si="15"/>
        <v>9.4710470745809925</v>
      </c>
      <c r="L117">
        <f t="shared" ca="1" si="16"/>
        <v>6.2417722834726503E-3</v>
      </c>
      <c r="M117" s="4">
        <f t="shared" ca="1" si="17"/>
        <v>346.56010080964381</v>
      </c>
    </row>
    <row r="118" spans="1:13" x14ac:dyDescent="0.2">
      <c r="A118">
        <v>117</v>
      </c>
      <c r="B118" s="1">
        <v>258.91000000000003</v>
      </c>
      <c r="C118" s="1">
        <v>11.76</v>
      </c>
      <c r="D118" s="1">
        <v>230.03</v>
      </c>
      <c r="E118">
        <f t="shared" si="9"/>
        <v>-5.8919974053747437E-3</v>
      </c>
      <c r="F118">
        <f t="shared" si="10"/>
        <v>2.9337738242616682E-2</v>
      </c>
      <c r="G118">
        <f t="shared" si="11"/>
        <v>1.4185256029157005E-2</v>
      </c>
      <c r="H118">
        <f t="shared" ca="1" si="12"/>
        <v>-2.9733975634409195E-2</v>
      </c>
      <c r="I118" s="4">
        <f t="shared" ca="1" si="13"/>
        <v>259.41830214970901</v>
      </c>
      <c r="J118">
        <f t="shared" ca="1" si="14"/>
        <v>2.6212006322628212E-2</v>
      </c>
      <c r="K118" s="4">
        <f t="shared" ca="1" si="15"/>
        <v>9.7225844684581659</v>
      </c>
      <c r="L118">
        <f t="shared" ca="1" si="16"/>
        <v>-1.5933085241658426E-2</v>
      </c>
      <c r="M118" s="4">
        <f t="shared" ca="1" si="17"/>
        <v>341.08208590964256</v>
      </c>
    </row>
    <row r="119" spans="1:13" x14ac:dyDescent="0.2">
      <c r="A119">
        <v>118</v>
      </c>
      <c r="B119" s="1">
        <v>259.33</v>
      </c>
      <c r="C119" s="1">
        <v>11.68</v>
      </c>
      <c r="D119" s="1">
        <v>234.07</v>
      </c>
      <c r="E119">
        <f t="shared" si="9"/>
        <v>1.6208709939516638E-3</v>
      </c>
      <c r="F119">
        <f t="shared" si="10"/>
        <v>-6.8259650703998706E-3</v>
      </c>
      <c r="G119">
        <f t="shared" si="11"/>
        <v>1.7410480721885509E-2</v>
      </c>
      <c r="H119">
        <f t="shared" ca="1" si="12"/>
        <v>4.045765717859217E-2</v>
      </c>
      <c r="I119" s="4">
        <f t="shared" ca="1" si="13"/>
        <v>270.12896207379924</v>
      </c>
      <c r="J119">
        <f t="shared" ca="1" si="14"/>
        <v>2.1035318688659144E-2</v>
      </c>
      <c r="K119" s="4">
        <f t="shared" ca="1" si="15"/>
        <v>9.9292683406422952</v>
      </c>
      <c r="L119">
        <f t="shared" ca="1" si="16"/>
        <v>-5.0211583278002118E-3</v>
      </c>
      <c r="M119" s="4">
        <f t="shared" ca="1" si="17"/>
        <v>339.37375125212401</v>
      </c>
    </row>
    <row r="120" spans="1:13" x14ac:dyDescent="0.2">
      <c r="A120">
        <v>119</v>
      </c>
      <c r="B120" s="1">
        <v>261.38</v>
      </c>
      <c r="C120" s="1">
        <v>11.68</v>
      </c>
      <c r="D120" s="1">
        <v>236.7</v>
      </c>
      <c r="E120">
        <f t="shared" si="9"/>
        <v>7.8739052116516776E-3</v>
      </c>
      <c r="F120">
        <f t="shared" si="10"/>
        <v>0</v>
      </c>
      <c r="G120">
        <f t="shared" si="11"/>
        <v>1.1173300598125255E-2</v>
      </c>
      <c r="H120">
        <f t="shared" ca="1" si="12"/>
        <v>1.1372636910648388E-2</v>
      </c>
      <c r="I120" s="4">
        <f t="shared" ca="1" si="13"/>
        <v>273.21857590666235</v>
      </c>
      <c r="J120">
        <f t="shared" ca="1" si="14"/>
        <v>-1.4025702205623793E-2</v>
      </c>
      <c r="K120" s="4">
        <f t="shared" ca="1" si="15"/>
        <v>9.7909754741354522</v>
      </c>
      <c r="L120">
        <f t="shared" ca="1" si="16"/>
        <v>8.8994574750143299E-4</v>
      </c>
      <c r="M120" s="4">
        <f t="shared" ca="1" si="17"/>
        <v>339.6759099113288</v>
      </c>
    </row>
    <row r="121" spans="1:13" x14ac:dyDescent="0.2">
      <c r="A121">
        <v>120</v>
      </c>
      <c r="B121" s="1">
        <v>262.06</v>
      </c>
      <c r="C121" s="1">
        <v>11.61</v>
      </c>
      <c r="D121" s="1">
        <v>238.15</v>
      </c>
      <c r="E121">
        <f t="shared" si="9"/>
        <v>2.5981980075493317E-3</v>
      </c>
      <c r="F121">
        <f t="shared" si="10"/>
        <v>-6.011181690280921E-3</v>
      </c>
      <c r="G121">
        <f t="shared" si="11"/>
        <v>6.1072107269313034E-3</v>
      </c>
      <c r="H121">
        <f t="shared" ca="1" si="12"/>
        <v>3.9272169824092353E-2</v>
      </c>
      <c r="I121" s="4">
        <f t="shared" ca="1" si="13"/>
        <v>284.1619405941691</v>
      </c>
      <c r="J121">
        <f t="shared" ca="1" si="14"/>
        <v>2.5805020873117725E-2</v>
      </c>
      <c r="K121" s="4">
        <f t="shared" ca="1" si="15"/>
        <v>10.046919923941179</v>
      </c>
      <c r="L121">
        <f t="shared" ca="1" si="16"/>
        <v>-4.5173189623231203E-5</v>
      </c>
      <c r="M121" s="4">
        <f t="shared" ca="1" si="17"/>
        <v>339.66056601360896</v>
      </c>
    </row>
    <row r="122" spans="1:13" x14ac:dyDescent="0.2">
      <c r="A122">
        <v>121</v>
      </c>
      <c r="B122" s="1">
        <v>262.79000000000002</v>
      </c>
      <c r="C122" s="1">
        <v>11.66</v>
      </c>
      <c r="D122" s="1">
        <v>238.99</v>
      </c>
      <c r="E122">
        <f t="shared" si="9"/>
        <v>2.781748959649534E-3</v>
      </c>
      <c r="F122">
        <f t="shared" si="10"/>
        <v>4.2973852125461733E-3</v>
      </c>
      <c r="G122">
        <f t="shared" si="11"/>
        <v>3.5209828050978467E-3</v>
      </c>
      <c r="H122">
        <f t="shared" ca="1" si="12"/>
        <v>1.4939548406917833E-2</v>
      </c>
      <c r="I122" s="4">
        <f t="shared" ca="1" si="13"/>
        <v>288.43906123589227</v>
      </c>
      <c r="J122">
        <f t="shared" ca="1" si="14"/>
        <v>-5.2787885006220486E-3</v>
      </c>
      <c r="K122" s="4">
        <f t="shared" ca="1" si="15"/>
        <v>9.9940240943596184</v>
      </c>
      <c r="L122">
        <f t="shared" ca="1" si="16"/>
        <v>8.1830442161544524E-3</v>
      </c>
      <c r="M122" s="4">
        <f t="shared" ca="1" si="17"/>
        <v>342.45142673863933</v>
      </c>
    </row>
    <row r="123" spans="1:13" x14ac:dyDescent="0.2">
      <c r="A123">
        <v>122</v>
      </c>
      <c r="B123" s="1">
        <v>268.64</v>
      </c>
      <c r="C123" s="1">
        <v>11.74</v>
      </c>
      <c r="D123" s="1">
        <v>237.88</v>
      </c>
      <c r="E123">
        <f t="shared" si="9"/>
        <v>2.2016959193141849E-2</v>
      </c>
      <c r="F123">
        <f t="shared" si="10"/>
        <v>6.8376334776039686E-3</v>
      </c>
      <c r="G123">
        <f t="shared" si="11"/>
        <v>-4.6553652135744661E-3</v>
      </c>
      <c r="H123">
        <f t="shared" ca="1" si="12"/>
        <v>3.0830297830786169E-2</v>
      </c>
      <c r="I123" s="4">
        <f t="shared" ca="1" si="13"/>
        <v>297.47022479339699</v>
      </c>
      <c r="J123">
        <f t="shared" ca="1" si="14"/>
        <v>1.0758941465729577E-3</v>
      </c>
      <c r="K123" s="4">
        <f t="shared" ca="1" si="15"/>
        <v>10.004782392740806</v>
      </c>
      <c r="L123">
        <f t="shared" ca="1" si="16"/>
        <v>2.2093043065478848E-2</v>
      </c>
      <c r="M123" s="4">
        <f t="shared" ca="1" si="17"/>
        <v>350.10141546016149</v>
      </c>
    </row>
    <row r="124" spans="1:13" x14ac:dyDescent="0.2">
      <c r="A124">
        <v>123</v>
      </c>
      <c r="B124" s="1">
        <v>264.87</v>
      </c>
      <c r="C124" s="1">
        <v>11.62</v>
      </c>
      <c r="D124" s="1">
        <v>245.5</v>
      </c>
      <c r="E124">
        <f t="shared" si="9"/>
        <v>-1.4133053747629883E-2</v>
      </c>
      <c r="F124">
        <f t="shared" si="10"/>
        <v>-1.027406297618534E-2</v>
      </c>
      <c r="G124">
        <f t="shared" si="11"/>
        <v>3.1530602396182335E-2</v>
      </c>
      <c r="H124">
        <f t="shared" ca="1" si="12"/>
        <v>6.5426878488744613E-3</v>
      </c>
      <c r="I124" s="4">
        <f t="shared" ca="1" si="13"/>
        <v>299.42286039567284</v>
      </c>
      <c r="J124">
        <f t="shared" ca="1" si="14"/>
        <v>-8.3271412749800627E-3</v>
      </c>
      <c r="K124" s="4">
        <f t="shared" ca="1" si="15"/>
        <v>9.9218170677317694</v>
      </c>
      <c r="L124">
        <f t="shared" ca="1" si="16"/>
        <v>-9.9956219764946851E-3</v>
      </c>
      <c r="M124" s="4">
        <f t="shared" ca="1" si="17"/>
        <v>346.61936567608979</v>
      </c>
    </row>
    <row r="125" spans="1:13" x14ac:dyDescent="0.2">
      <c r="A125">
        <v>124</v>
      </c>
      <c r="B125" s="1">
        <v>272.63</v>
      </c>
      <c r="C125" s="1">
        <v>11.66</v>
      </c>
      <c r="D125" s="1">
        <v>256.08</v>
      </c>
      <c r="E125">
        <f t="shared" si="9"/>
        <v>2.8876424982925194E-2</v>
      </c>
      <c r="F125">
        <f t="shared" si="10"/>
        <v>3.4364294985813186E-3</v>
      </c>
      <c r="G125">
        <f t="shared" si="11"/>
        <v>4.2192948427032299E-2</v>
      </c>
      <c r="H125">
        <f t="shared" ca="1" si="12"/>
        <v>1.8455656926270381E-2</v>
      </c>
      <c r="I125" s="4">
        <f t="shared" ca="1" si="13"/>
        <v>305.00021454211708</v>
      </c>
      <c r="J125">
        <f t="shared" ca="1" si="14"/>
        <v>1.1544185111959804E-2</v>
      </c>
      <c r="K125" s="4">
        <f t="shared" ca="1" si="15"/>
        <v>10.037020043442171</v>
      </c>
      <c r="L125">
        <f t="shared" ca="1" si="16"/>
        <v>2.2221055565097656E-3</v>
      </c>
      <c r="M125" s="4">
        <f t="shared" ca="1" si="17"/>
        <v>347.39044688919256</v>
      </c>
    </row>
    <row r="126" spans="1:13" x14ac:dyDescent="0.2">
      <c r="A126">
        <v>125</v>
      </c>
      <c r="B126" s="1">
        <v>282.70999999999998</v>
      </c>
      <c r="C126" s="1">
        <v>11.73</v>
      </c>
      <c r="D126" s="1">
        <v>254.43</v>
      </c>
      <c r="E126">
        <f t="shared" si="9"/>
        <v>3.6306072696526484E-2</v>
      </c>
      <c r="F126">
        <f t="shared" si="10"/>
        <v>5.9854817430378239E-3</v>
      </c>
      <c r="G126">
        <f t="shared" si="11"/>
        <v>-6.4641466198891257E-3</v>
      </c>
      <c r="H126">
        <f t="shared" ca="1" si="12"/>
        <v>1.0273858054501647E-2</v>
      </c>
      <c r="I126" s="4">
        <f t="shared" ca="1" si="13"/>
        <v>308.14989543553708</v>
      </c>
      <c r="J126">
        <f t="shared" ca="1" si="14"/>
        <v>3.4847313044565659E-3</v>
      </c>
      <c r="K126" s="4">
        <f t="shared" ca="1" si="15"/>
        <v>10.072057373776051</v>
      </c>
      <c r="L126">
        <f t="shared" ca="1" si="16"/>
        <v>3.5381580311664206E-3</v>
      </c>
      <c r="M126" s="4">
        <f t="shared" ca="1" si="17"/>
        <v>348.62174617001585</v>
      </c>
    </row>
    <row r="127" spans="1:13" x14ac:dyDescent="0.2">
      <c r="A127">
        <v>126</v>
      </c>
      <c r="B127" s="1">
        <v>280.70999999999998</v>
      </c>
      <c r="C127" s="1">
        <v>11.63</v>
      </c>
      <c r="D127" s="1">
        <v>252.31</v>
      </c>
      <c r="E127">
        <f t="shared" si="9"/>
        <v>-7.0995293051211369E-3</v>
      </c>
      <c r="F127">
        <f t="shared" si="10"/>
        <v>-8.5616961348110362E-3</v>
      </c>
      <c r="G127">
        <f t="shared" si="11"/>
        <v>-8.367258825429779E-3</v>
      </c>
      <c r="H127">
        <f t="shared" ca="1" si="12"/>
        <v>2.6573133582218768E-3</v>
      </c>
      <c r="I127" s="4">
        <f t="shared" ca="1" si="13"/>
        <v>308.96983520497611</v>
      </c>
      <c r="J127">
        <f t="shared" ca="1" si="14"/>
        <v>-2.1688126385503392E-2</v>
      </c>
      <c r="K127" s="4">
        <f t="shared" ca="1" si="15"/>
        <v>9.8559651089636979</v>
      </c>
      <c r="L127">
        <f t="shared" ca="1" si="16"/>
        <v>-1.180829506786292E-2</v>
      </c>
      <c r="M127" s="4">
        <f t="shared" ca="1" si="17"/>
        <v>344.52932752001976</v>
      </c>
    </row>
    <row r="128" spans="1:13" x14ac:dyDescent="0.2">
      <c r="A128">
        <v>127</v>
      </c>
      <c r="B128" s="1">
        <v>276.66000000000003</v>
      </c>
      <c r="C128" s="1">
        <v>11.62</v>
      </c>
      <c r="D128" s="1">
        <v>256.87</v>
      </c>
      <c r="E128">
        <f t="shared" si="9"/>
        <v>-1.4532792509261885E-2</v>
      </c>
      <c r="F128">
        <f t="shared" si="10"/>
        <v>-8.6021510680799214E-4</v>
      </c>
      <c r="G128">
        <f t="shared" si="11"/>
        <v>1.7911630124575698E-2</v>
      </c>
      <c r="H128">
        <f t="shared" ca="1" si="12"/>
        <v>3.0482428547780455E-2</v>
      </c>
      <c r="I128" s="4">
        <f t="shared" ca="1" si="13"/>
        <v>318.53299989310148</v>
      </c>
      <c r="J128">
        <f t="shared" ca="1" si="14"/>
        <v>-1.7334396537772119E-3</v>
      </c>
      <c r="K128" s="4">
        <f t="shared" ca="1" si="15"/>
        <v>9.8388951873314241</v>
      </c>
      <c r="L128">
        <f t="shared" ca="1" si="16"/>
        <v>1.4451830260716347E-2</v>
      </c>
      <c r="M128" s="4">
        <f t="shared" ca="1" si="17"/>
        <v>349.54455923200703</v>
      </c>
    </row>
    <row r="129" spans="1:13" x14ac:dyDescent="0.2">
      <c r="A129">
        <v>128</v>
      </c>
      <c r="B129" s="1">
        <v>273.36</v>
      </c>
      <c r="C129" s="1">
        <v>12.01</v>
      </c>
      <c r="D129" s="1">
        <v>255.46</v>
      </c>
      <c r="E129">
        <f t="shared" si="9"/>
        <v>-1.1999707639632807E-2</v>
      </c>
      <c r="F129">
        <f t="shared" si="10"/>
        <v>3.3011884668127101E-2</v>
      </c>
      <c r="G129">
        <f t="shared" si="11"/>
        <v>-5.5042787262334567E-3</v>
      </c>
      <c r="H129">
        <f t="shared" ca="1" si="12"/>
        <v>8.7843715974836294E-3</v>
      </c>
      <c r="I129" s="4">
        <f t="shared" ca="1" si="13"/>
        <v>321.34343802436393</v>
      </c>
      <c r="J129">
        <f t="shared" ca="1" si="14"/>
        <v>3.4815027654610912E-5</v>
      </c>
      <c r="K129" s="4">
        <f t="shared" ca="1" si="15"/>
        <v>9.8392377347023245</v>
      </c>
      <c r="L129">
        <f t="shared" ca="1" si="16"/>
        <v>-2.2962744097935611E-2</v>
      </c>
      <c r="M129" s="4">
        <f t="shared" ca="1" si="17"/>
        <v>341.60951087791369</v>
      </c>
    </row>
    <row r="130" spans="1:13" x14ac:dyDescent="0.2">
      <c r="A130">
        <v>129</v>
      </c>
      <c r="B130" s="1">
        <v>273.23</v>
      </c>
      <c r="C130" s="1">
        <v>12.09</v>
      </c>
      <c r="D130" s="1">
        <v>254.43</v>
      </c>
      <c r="E130">
        <f t="shared" si="9"/>
        <v>-4.7567647579078916E-4</v>
      </c>
      <c r="F130">
        <f t="shared" si="10"/>
        <v>6.639028534809085E-3</v>
      </c>
      <c r="G130">
        <f t="shared" si="11"/>
        <v>-4.040092572912473E-3</v>
      </c>
      <c r="H130">
        <f t="shared" ca="1" si="12"/>
        <v>-1.5166663621916479E-2</v>
      </c>
      <c r="I130" s="4">
        <f t="shared" ca="1" si="13"/>
        <v>316.50650299474125</v>
      </c>
      <c r="J130">
        <f t="shared" ca="1" si="14"/>
        <v>-1.1575501845090978E-2</v>
      </c>
      <c r="K130" s="4">
        <f t="shared" ca="1" si="15"/>
        <v>9.7260002747721135</v>
      </c>
      <c r="L130">
        <f t="shared" ca="1" si="16"/>
        <v>-1.1962599658645949E-2</v>
      </c>
      <c r="M130" s="4">
        <f t="shared" ca="1" si="17"/>
        <v>337.54731869193347</v>
      </c>
    </row>
    <row r="131" spans="1:13" x14ac:dyDescent="0.2">
      <c r="A131">
        <v>130</v>
      </c>
      <c r="B131" s="1">
        <v>279.29000000000002</v>
      </c>
      <c r="C131" s="1">
        <v>11.96</v>
      </c>
      <c r="D131" s="1">
        <v>254.63</v>
      </c>
      <c r="E131">
        <f t="shared" si="9"/>
        <v>2.1936737183712082E-2</v>
      </c>
      <c r="F131">
        <f t="shared" si="10"/>
        <v>-1.0810916104215506E-2</v>
      </c>
      <c r="G131">
        <f t="shared" si="11"/>
        <v>7.8576203312136412E-4</v>
      </c>
      <c r="H131">
        <f t="shared" ca="1" si="12"/>
        <v>1.1048145836260083E-2</v>
      </c>
      <c r="I131" s="4">
        <f t="shared" ca="1" si="13"/>
        <v>320.0227009659713</v>
      </c>
      <c r="J131">
        <f t="shared" ca="1" si="14"/>
        <v>1.256487876267076E-3</v>
      </c>
      <c r="K131" s="4">
        <f t="shared" ca="1" si="15"/>
        <v>9.7382285569372833</v>
      </c>
      <c r="L131">
        <f t="shared" ca="1" si="16"/>
        <v>-1.1763498787136142E-2</v>
      </c>
      <c r="M131" s="4">
        <f t="shared" ca="1" si="17"/>
        <v>333.5998447909397</v>
      </c>
    </row>
    <row r="132" spans="1:13" x14ac:dyDescent="0.2">
      <c r="A132">
        <v>131</v>
      </c>
      <c r="B132" s="1">
        <v>288.47000000000003</v>
      </c>
      <c r="C132" s="1">
        <v>12.27</v>
      </c>
      <c r="D132" s="1">
        <v>255.45</v>
      </c>
      <c r="E132">
        <f t="shared" ref="E132:E195" si="18">LN(B132/B131)</f>
        <v>3.2340425891081728E-2</v>
      </c>
      <c r="F132">
        <f t="shared" ref="F132:F195" si="19">LN(C132/C131)</f>
        <v>2.5589510200334321E-2</v>
      </c>
      <c r="G132">
        <f t="shared" ref="G132:G195" si="20">LN(D132/D131)</f>
        <v>3.2151847019672259E-3</v>
      </c>
      <c r="H132">
        <f t="shared" ref="H132:H195" ca="1" si="21">_xlfn.NORM.INV(RAND(),$E$254,$E$255)</f>
        <v>2.7277904098354521E-2</v>
      </c>
      <c r="I132" s="4">
        <f t="shared" ref="I132:I195" ca="1" si="22">I131*EXP(H132)</f>
        <v>328.87240141569168</v>
      </c>
      <c r="J132">
        <f t="shared" ref="J132:J195" ca="1" si="23">_xlfn.NORM.INV(RAND(),$F$254,$F$255)</f>
        <v>-1.9491619485718602E-2</v>
      </c>
      <c r="K132" s="4">
        <f t="shared" ref="K132:K195" ca="1" si="24">K131*EXP(J132)</f>
        <v>9.5502526402908163</v>
      </c>
      <c r="L132">
        <f t="shared" ref="L132:L195" ca="1" si="25">_xlfn.NORM.INV(RAND(),$G$254,$G$255)</f>
        <v>2.0401287317608416E-2</v>
      </c>
      <c r="M132" s="4">
        <f t="shared" ref="M132:M195" ca="1" si="26">M131*EXP(L132)</f>
        <v>340.47560982262678</v>
      </c>
    </row>
    <row r="133" spans="1:13" x14ac:dyDescent="0.2">
      <c r="A133">
        <v>132</v>
      </c>
      <c r="B133" s="1">
        <v>288.11</v>
      </c>
      <c r="C133" s="1">
        <v>12.22</v>
      </c>
      <c r="D133" s="1">
        <v>257.13</v>
      </c>
      <c r="E133">
        <f t="shared" si="18"/>
        <v>-1.2487427478607357E-3</v>
      </c>
      <c r="F133">
        <f t="shared" si="19"/>
        <v>-4.0833049793707679E-3</v>
      </c>
      <c r="G133">
        <f t="shared" si="20"/>
        <v>6.555097802094065E-3</v>
      </c>
      <c r="H133">
        <f t="shared" ca="1" si="21"/>
        <v>2.9044649356695693E-2</v>
      </c>
      <c r="I133" s="4">
        <f t="shared" ca="1" si="22"/>
        <v>338.56445480904802</v>
      </c>
      <c r="J133">
        <f t="shared" ca="1" si="23"/>
        <v>5.5292189750359294E-2</v>
      </c>
      <c r="K133" s="4">
        <f t="shared" ca="1" si="24"/>
        <v>10.093178487371839</v>
      </c>
      <c r="L133">
        <f t="shared" ca="1" si="25"/>
        <v>-3.0420058437303207E-2</v>
      </c>
      <c r="M133" s="4">
        <f t="shared" ca="1" si="26"/>
        <v>330.27427119795408</v>
      </c>
    </row>
    <row r="134" spans="1:13" x14ac:dyDescent="0.2">
      <c r="A134">
        <v>133</v>
      </c>
      <c r="B134" s="1">
        <v>292.19</v>
      </c>
      <c r="C134" s="1">
        <v>12.67</v>
      </c>
      <c r="D134" s="1">
        <v>258.02</v>
      </c>
      <c r="E134">
        <f t="shared" si="18"/>
        <v>1.4061923937956435E-2</v>
      </c>
      <c r="F134">
        <f t="shared" si="19"/>
        <v>3.6163040589598426E-2</v>
      </c>
      <c r="G134">
        <f t="shared" si="20"/>
        <v>3.4553077180894433E-3</v>
      </c>
      <c r="H134">
        <f t="shared" ca="1" si="21"/>
        <v>1.9698767027950797E-3</v>
      </c>
      <c r="I134" s="4">
        <f t="shared" ca="1" si="22"/>
        <v>339.23204235767412</v>
      </c>
      <c r="J134">
        <f t="shared" ca="1" si="23"/>
        <v>-2.2457522206151086E-2</v>
      </c>
      <c r="K134" s="4">
        <f t="shared" ca="1" si="24"/>
        <v>9.8690369592548883</v>
      </c>
      <c r="L134">
        <f t="shared" ca="1" si="25"/>
        <v>-1.1956340261606947E-2</v>
      </c>
      <c r="M134" s="4">
        <f t="shared" ca="1" si="26"/>
        <v>326.34891285391416</v>
      </c>
    </row>
    <row r="135" spans="1:13" x14ac:dyDescent="0.2">
      <c r="A135">
        <v>134</v>
      </c>
      <c r="B135" s="1">
        <v>302.39999999999998</v>
      </c>
      <c r="C135" s="1">
        <v>12.7</v>
      </c>
      <c r="D135" s="1">
        <v>256.69</v>
      </c>
      <c r="E135">
        <f t="shared" si="18"/>
        <v>3.4346368709242688E-2</v>
      </c>
      <c r="F135">
        <f t="shared" si="19"/>
        <v>2.3649991314978833E-3</v>
      </c>
      <c r="G135">
        <f t="shared" si="20"/>
        <v>-5.1679701584425612E-3</v>
      </c>
      <c r="H135">
        <f t="shared" ca="1" si="21"/>
        <v>-3.1817204217190427E-2</v>
      </c>
      <c r="I135" s="4">
        <f t="shared" ca="1" si="22"/>
        <v>328.60852863902983</v>
      </c>
      <c r="J135">
        <f t="shared" ca="1" si="23"/>
        <v>-2.9952302117986045E-2</v>
      </c>
      <c r="K135" s="4">
        <f t="shared" ca="1" si="24"/>
        <v>9.5778196683515304</v>
      </c>
      <c r="L135">
        <f t="shared" ca="1" si="25"/>
        <v>-1.3161973078617737E-3</v>
      </c>
      <c r="M135" s="4">
        <f t="shared" ca="1" si="26"/>
        <v>325.91965584881899</v>
      </c>
    </row>
    <row r="136" spans="1:13" x14ac:dyDescent="0.2">
      <c r="A136">
        <v>135</v>
      </c>
      <c r="B136" s="1">
        <v>294.02999999999997</v>
      </c>
      <c r="C136" s="1">
        <v>11.92</v>
      </c>
      <c r="D136" s="1">
        <v>256.48</v>
      </c>
      <c r="E136">
        <f t="shared" si="18"/>
        <v>-2.806884135617977E-2</v>
      </c>
      <c r="F136">
        <f t="shared" si="19"/>
        <v>-6.3384331827341836E-2</v>
      </c>
      <c r="G136">
        <f t="shared" si="20"/>
        <v>-8.1844227730499413E-4</v>
      </c>
      <c r="H136">
        <f t="shared" ca="1" si="21"/>
        <v>2.7982602099445437E-2</v>
      </c>
      <c r="I136" s="4">
        <f t="shared" ca="1" si="22"/>
        <v>337.93371332816963</v>
      </c>
      <c r="J136">
        <f t="shared" ca="1" si="23"/>
        <v>3.2603927953797206E-2</v>
      </c>
      <c r="K136" s="4">
        <f t="shared" ca="1" si="24"/>
        <v>9.8952406785066476</v>
      </c>
      <c r="L136">
        <f t="shared" ca="1" si="25"/>
        <v>5.5763253413155502E-2</v>
      </c>
      <c r="M136" s="4">
        <f t="shared" ca="1" si="26"/>
        <v>344.61027814451853</v>
      </c>
    </row>
    <row r="137" spans="1:13" x14ac:dyDescent="0.2">
      <c r="A137">
        <v>136</v>
      </c>
      <c r="B137" s="1">
        <v>304.52</v>
      </c>
      <c r="C137" s="1">
        <v>11.74</v>
      </c>
      <c r="D137" s="1">
        <v>258.06</v>
      </c>
      <c r="E137">
        <f t="shared" si="18"/>
        <v>3.5054963488813658E-2</v>
      </c>
      <c r="F137">
        <f t="shared" si="19"/>
        <v>-1.5215847237253317E-2</v>
      </c>
      <c r="G137">
        <f t="shared" si="20"/>
        <v>6.1414271624570778E-3</v>
      </c>
      <c r="H137">
        <f t="shared" ca="1" si="21"/>
        <v>-1.947924805618946E-2</v>
      </c>
      <c r="I137" s="4">
        <f t="shared" ca="1" si="22"/>
        <v>331.41471739903932</v>
      </c>
      <c r="J137">
        <f t="shared" ca="1" si="23"/>
        <v>-7.1701029045056156E-3</v>
      </c>
      <c r="K137" s="4">
        <f t="shared" ca="1" si="24"/>
        <v>9.8245445367585553</v>
      </c>
      <c r="L137">
        <f t="shared" ca="1" si="25"/>
        <v>2.4255414457901709E-2</v>
      </c>
      <c r="M137" s="4">
        <f t="shared" ca="1" si="26"/>
        <v>353.07113930708101</v>
      </c>
    </row>
    <row r="138" spans="1:13" x14ac:dyDescent="0.2">
      <c r="A138">
        <v>137</v>
      </c>
      <c r="B138" s="1">
        <v>299.88</v>
      </c>
      <c r="C138" s="1">
        <v>11.5</v>
      </c>
      <c r="D138" s="1">
        <v>254.04</v>
      </c>
      <c r="E138">
        <f t="shared" si="18"/>
        <v>-1.5354371803150503E-2</v>
      </c>
      <c r="F138">
        <f t="shared" si="19"/>
        <v>-2.0654779030746025E-2</v>
      </c>
      <c r="G138">
        <f t="shared" si="20"/>
        <v>-1.5700381088925939E-2</v>
      </c>
      <c r="H138">
        <f t="shared" ca="1" si="21"/>
        <v>1.4167230196044848E-2</v>
      </c>
      <c r="I138" s="4">
        <f t="shared" ca="1" si="22"/>
        <v>336.14336280434242</v>
      </c>
      <c r="J138">
        <f t="shared" ca="1" si="23"/>
        <v>-1.0453069248421577E-2</v>
      </c>
      <c r="K138" s="4">
        <f t="shared" ca="1" si="24"/>
        <v>9.7223827746065954</v>
      </c>
      <c r="L138">
        <f t="shared" ca="1" si="25"/>
        <v>3.920487311726519E-3</v>
      </c>
      <c r="M138" s="4">
        <f t="shared" ca="1" si="26"/>
        <v>354.45806716896516</v>
      </c>
    </row>
    <row r="139" spans="1:13" x14ac:dyDescent="0.2">
      <c r="A139">
        <v>138</v>
      </c>
      <c r="B139" s="1">
        <v>280.66000000000003</v>
      </c>
      <c r="C139" s="1">
        <v>11.41</v>
      </c>
      <c r="D139" s="1">
        <v>245.27</v>
      </c>
      <c r="E139">
        <f t="shared" si="18"/>
        <v>-6.6238422311871561E-2</v>
      </c>
      <c r="F139">
        <f t="shared" si="19"/>
        <v>-7.8568714952201319E-3</v>
      </c>
      <c r="G139">
        <f t="shared" si="20"/>
        <v>-3.5132090374928697E-2</v>
      </c>
      <c r="H139">
        <f t="shared" ca="1" si="21"/>
        <v>-1.1200638588164388E-2</v>
      </c>
      <c r="I139" s="4">
        <f t="shared" ca="1" si="22"/>
        <v>332.3993492966477</v>
      </c>
      <c r="J139">
        <f t="shared" ca="1" si="23"/>
        <v>1.0335314686051044E-2</v>
      </c>
      <c r="K139" s="4">
        <f t="shared" ca="1" si="24"/>
        <v>9.8233877199277053</v>
      </c>
      <c r="L139">
        <f t="shared" ca="1" si="25"/>
        <v>-3.0114793439799174E-2</v>
      </c>
      <c r="M139" s="4">
        <f t="shared" ca="1" si="26"/>
        <v>343.94276347520054</v>
      </c>
    </row>
    <row r="140" spans="1:13" x14ac:dyDescent="0.2">
      <c r="A140">
        <v>139</v>
      </c>
      <c r="B140" s="1">
        <v>302.89</v>
      </c>
      <c r="C140" s="1">
        <v>11.54</v>
      </c>
      <c r="D140" s="1">
        <v>247.66</v>
      </c>
      <c r="E140">
        <f t="shared" si="18"/>
        <v>7.6225730969116945E-2</v>
      </c>
      <c r="F140">
        <f t="shared" si="19"/>
        <v>1.1329097205969229E-2</v>
      </c>
      <c r="G140">
        <f t="shared" si="20"/>
        <v>9.6971932271071818E-3</v>
      </c>
      <c r="H140">
        <f t="shared" ca="1" si="21"/>
        <v>2.4489832935564018E-2</v>
      </c>
      <c r="I140" s="4">
        <f t="shared" ca="1" si="22"/>
        <v>340.64025111256285</v>
      </c>
      <c r="J140">
        <f t="shared" ca="1" si="23"/>
        <v>-1.501750454160555E-2</v>
      </c>
      <c r="K140" s="4">
        <f t="shared" ca="1" si="24"/>
        <v>9.6769671378944455</v>
      </c>
      <c r="L140">
        <f t="shared" ca="1" si="25"/>
        <v>9.7886585039561134E-3</v>
      </c>
      <c r="M140" s="4">
        <f t="shared" ca="1" si="26"/>
        <v>347.32603355472571</v>
      </c>
    </row>
    <row r="141" spans="1:13" x14ac:dyDescent="0.2">
      <c r="A141">
        <v>140</v>
      </c>
      <c r="B141" s="1">
        <v>295.94</v>
      </c>
      <c r="C141" s="1">
        <v>11.65</v>
      </c>
      <c r="D141" s="1">
        <v>247.77</v>
      </c>
      <c r="E141">
        <f t="shared" si="18"/>
        <v>-2.3212972217718491E-2</v>
      </c>
      <c r="F141">
        <f t="shared" si="19"/>
        <v>9.4869189317562091E-3</v>
      </c>
      <c r="G141">
        <f t="shared" si="20"/>
        <v>4.440587037828413E-4</v>
      </c>
      <c r="H141">
        <f t="shared" ca="1" si="21"/>
        <v>3.3201091827105003E-3</v>
      </c>
      <c r="I141" s="4">
        <f t="shared" ca="1" si="22"/>
        <v>341.77309347783051</v>
      </c>
      <c r="J141">
        <f t="shared" ca="1" si="23"/>
        <v>3.3827706489797322E-3</v>
      </c>
      <c r="K141" s="4">
        <f t="shared" ca="1" si="24"/>
        <v>9.7097575282158921</v>
      </c>
      <c r="L141">
        <f t="shared" ca="1" si="25"/>
        <v>-3.6947708882861543E-3</v>
      </c>
      <c r="M141" s="4">
        <f t="shared" ca="1" si="26"/>
        <v>346.04511125161264</v>
      </c>
    </row>
    <row r="142" spans="1:13" x14ac:dyDescent="0.2">
      <c r="A142">
        <v>141</v>
      </c>
      <c r="B142" s="1">
        <v>304.70999999999998</v>
      </c>
      <c r="C142" s="1">
        <v>11.76</v>
      </c>
      <c r="D142" s="1">
        <v>249.34</v>
      </c>
      <c r="E142">
        <f t="shared" si="18"/>
        <v>2.9203773545131248E-2</v>
      </c>
      <c r="F142">
        <f t="shared" si="19"/>
        <v>9.3977624587713027E-3</v>
      </c>
      <c r="G142">
        <f t="shared" si="20"/>
        <v>6.3165304260936386E-3</v>
      </c>
      <c r="H142">
        <f t="shared" ca="1" si="21"/>
        <v>2.0376601039345217E-3</v>
      </c>
      <c r="I142" s="4">
        <f t="shared" ca="1" si="22"/>
        <v>342.47022088815481</v>
      </c>
      <c r="J142">
        <f t="shared" ca="1" si="23"/>
        <v>1.7901987532843843E-2</v>
      </c>
      <c r="K142" s="4">
        <f t="shared" ca="1" si="24"/>
        <v>9.8851467098521635</v>
      </c>
      <c r="L142">
        <f t="shared" ca="1" si="25"/>
        <v>-2.0400633180485031E-2</v>
      </c>
      <c r="M142" s="4">
        <f t="shared" ca="1" si="26"/>
        <v>339.05709421695366</v>
      </c>
    </row>
    <row r="143" spans="1:13" x14ac:dyDescent="0.2">
      <c r="A143">
        <v>142</v>
      </c>
      <c r="B143" s="1">
        <v>299.83999999999997</v>
      </c>
      <c r="C143" s="1">
        <v>11.74</v>
      </c>
      <c r="D143" s="1">
        <v>247.45</v>
      </c>
      <c r="E143">
        <f t="shared" si="18"/>
        <v>-1.6111505569462104E-2</v>
      </c>
      <c r="F143">
        <f t="shared" si="19"/>
        <v>-1.7021280705304183E-3</v>
      </c>
      <c r="G143">
        <f t="shared" si="20"/>
        <v>-7.6088855189339194E-3</v>
      </c>
      <c r="H143">
        <f t="shared" ca="1" si="21"/>
        <v>-1.0605675905562667E-2</v>
      </c>
      <c r="I143" s="4">
        <f t="shared" ca="1" si="22"/>
        <v>338.8572853948574</v>
      </c>
      <c r="J143">
        <f t="shared" ca="1" si="23"/>
        <v>-4.0214536760373107E-3</v>
      </c>
      <c r="K143" s="4">
        <f t="shared" ca="1" si="24"/>
        <v>9.8454738749775235</v>
      </c>
      <c r="L143">
        <f t="shared" ca="1" si="25"/>
        <v>-5.8549275265360488E-2</v>
      </c>
      <c r="M143" s="4">
        <f t="shared" ca="1" si="26"/>
        <v>319.77551610693621</v>
      </c>
    </row>
    <row r="144" spans="1:13" x14ac:dyDescent="0.2">
      <c r="A144">
        <v>143</v>
      </c>
      <c r="B144" s="1">
        <v>295.08</v>
      </c>
      <c r="C144" s="1">
        <v>11.92</v>
      </c>
      <c r="D144" s="1">
        <v>252.29</v>
      </c>
      <c r="E144">
        <f t="shared" si="18"/>
        <v>-1.6002493033955789E-2</v>
      </c>
      <c r="F144">
        <f t="shared" si="19"/>
        <v>1.5215847237253215E-2</v>
      </c>
      <c r="G144">
        <f t="shared" si="20"/>
        <v>1.9370678108879068E-2</v>
      </c>
      <c r="H144">
        <f t="shared" ca="1" si="21"/>
        <v>7.3485791951753907E-3</v>
      </c>
      <c r="I144" s="4">
        <f t="shared" ca="1" si="22"/>
        <v>341.35657686595914</v>
      </c>
      <c r="J144">
        <f t="shared" ca="1" si="23"/>
        <v>1.608100252301357E-2</v>
      </c>
      <c r="K144" s="4">
        <f t="shared" ca="1" si="24"/>
        <v>10.005078829586289</v>
      </c>
      <c r="L144">
        <f t="shared" ca="1" si="25"/>
        <v>2.2833474661431815E-2</v>
      </c>
      <c r="M144" s="4">
        <f t="shared" ca="1" si="26"/>
        <v>327.16110064916506</v>
      </c>
    </row>
    <row r="145" spans="1:13" x14ac:dyDescent="0.2">
      <c r="A145">
        <v>144</v>
      </c>
      <c r="B145" s="1">
        <v>297.7</v>
      </c>
      <c r="C145" s="1">
        <v>11.99</v>
      </c>
      <c r="D145" s="1">
        <v>262.24</v>
      </c>
      <c r="E145">
        <f t="shared" si="18"/>
        <v>8.8397620056291509E-3</v>
      </c>
      <c r="F145">
        <f t="shared" si="19"/>
        <v>5.8553074022191526E-3</v>
      </c>
      <c r="G145">
        <f t="shared" si="20"/>
        <v>3.8680895488745502E-2</v>
      </c>
      <c r="H145">
        <f t="shared" ca="1" si="21"/>
        <v>-1.4575879483946957E-2</v>
      </c>
      <c r="I145" s="4">
        <f t="shared" ca="1" si="22"/>
        <v>336.41709067001568</v>
      </c>
      <c r="J145">
        <f t="shared" ca="1" si="23"/>
        <v>1.185908428194828E-2</v>
      </c>
      <c r="K145" s="4">
        <f t="shared" ca="1" si="24"/>
        <v>10.124436238616099</v>
      </c>
      <c r="L145">
        <f t="shared" ca="1" si="25"/>
        <v>1.2043334846547538E-2</v>
      </c>
      <c r="M145" s="4">
        <f t="shared" ca="1" si="26"/>
        <v>331.12503290352782</v>
      </c>
    </row>
    <row r="146" spans="1:13" x14ac:dyDescent="0.2">
      <c r="A146">
        <v>145</v>
      </c>
      <c r="B146" s="1">
        <v>294.51</v>
      </c>
      <c r="C146" s="1">
        <v>12.56</v>
      </c>
      <c r="D146" s="1">
        <v>262.77</v>
      </c>
      <c r="E146">
        <f t="shared" si="18"/>
        <v>-1.077330964919102E-2</v>
      </c>
      <c r="F146">
        <f t="shared" si="19"/>
        <v>4.6444192000629853E-2</v>
      </c>
      <c r="G146">
        <f t="shared" si="20"/>
        <v>2.0190098475877521E-3</v>
      </c>
      <c r="H146">
        <f t="shared" ca="1" si="21"/>
        <v>1.1419962294061935E-2</v>
      </c>
      <c r="I146" s="4">
        <f t="shared" ca="1" si="22"/>
        <v>340.28098191417337</v>
      </c>
      <c r="J146">
        <f t="shared" ca="1" si="23"/>
        <v>-2.3126152059097524E-4</v>
      </c>
      <c r="K146" s="4">
        <f t="shared" ca="1" si="24"/>
        <v>10.122095116812558</v>
      </c>
      <c r="L146">
        <f t="shared" ca="1" si="25"/>
        <v>-1.7980855315623323E-2</v>
      </c>
      <c r="M146" s="4">
        <f t="shared" ca="1" si="26"/>
        <v>325.22433041376252</v>
      </c>
    </row>
    <row r="147" spans="1:13" x14ac:dyDescent="0.2">
      <c r="A147">
        <v>146</v>
      </c>
      <c r="B147" s="1">
        <v>288.88</v>
      </c>
      <c r="C147" s="1">
        <v>12.43</v>
      </c>
      <c r="D147" s="1">
        <v>258.45</v>
      </c>
      <c r="E147">
        <f t="shared" si="18"/>
        <v>-1.9301581403337362E-2</v>
      </c>
      <c r="F147">
        <f t="shared" si="19"/>
        <v>-1.0404255517432898E-2</v>
      </c>
      <c r="G147">
        <f t="shared" si="20"/>
        <v>-1.6576873201058953E-2</v>
      </c>
      <c r="H147">
        <f t="shared" ca="1" si="21"/>
        <v>2.8954735868748304E-3</v>
      </c>
      <c r="I147" s="4">
        <f t="shared" ca="1" si="22"/>
        <v>341.26768430542086</v>
      </c>
      <c r="J147">
        <f t="shared" ca="1" si="23"/>
        <v>-9.5367483041293964E-3</v>
      </c>
      <c r="K147" s="4">
        <f t="shared" ca="1" si="24"/>
        <v>10.026022083689881</v>
      </c>
      <c r="L147">
        <f t="shared" ca="1" si="25"/>
        <v>7.154348874971471E-4</v>
      </c>
      <c r="M147" s="4">
        <f t="shared" ca="1" si="26"/>
        <v>325.45709049841776</v>
      </c>
    </row>
    <row r="148" spans="1:13" x14ac:dyDescent="0.2">
      <c r="A148">
        <v>147</v>
      </c>
      <c r="B148" s="1">
        <v>290.73</v>
      </c>
      <c r="C148" s="1">
        <v>12.34</v>
      </c>
      <c r="D148" s="1">
        <v>259.58</v>
      </c>
      <c r="E148">
        <f t="shared" si="18"/>
        <v>6.3836244453660531E-3</v>
      </c>
      <c r="F148">
        <f t="shared" si="19"/>
        <v>-7.2668870453780005E-3</v>
      </c>
      <c r="G148">
        <f t="shared" si="20"/>
        <v>4.3626886175645412E-3</v>
      </c>
      <c r="H148">
        <f t="shared" ca="1" si="21"/>
        <v>-1.8098434646082434E-2</v>
      </c>
      <c r="I148" s="4">
        <f t="shared" ca="1" si="22"/>
        <v>335.14682944466108</v>
      </c>
      <c r="J148">
        <f t="shared" ca="1" si="23"/>
        <v>1.6420455140736406E-2</v>
      </c>
      <c r="K148" s="4">
        <f t="shared" ca="1" si="24"/>
        <v>10.192013023263703</v>
      </c>
      <c r="L148">
        <f t="shared" ca="1" si="25"/>
        <v>-1.5700625048540397E-2</v>
      </c>
      <c r="M148" s="4">
        <f t="shared" ca="1" si="26"/>
        <v>320.38711578646223</v>
      </c>
    </row>
    <row r="149" spans="1:13" x14ac:dyDescent="0.2">
      <c r="A149">
        <v>148</v>
      </c>
      <c r="B149" s="1">
        <v>294.95999999999998</v>
      </c>
      <c r="C149" s="1">
        <v>13.84</v>
      </c>
      <c r="D149" s="1">
        <v>262.82</v>
      </c>
      <c r="E149">
        <f t="shared" si="18"/>
        <v>1.444475251132055E-2</v>
      </c>
      <c r="F149">
        <f t="shared" si="19"/>
        <v>0.1147169317122818</v>
      </c>
      <c r="G149">
        <f t="shared" si="20"/>
        <v>1.2404446955879033E-2</v>
      </c>
      <c r="H149">
        <f t="shared" ca="1" si="21"/>
        <v>9.848460601751742E-3</v>
      </c>
      <c r="I149" s="4">
        <f t="shared" ca="1" si="22"/>
        <v>338.46381658874452</v>
      </c>
      <c r="J149">
        <f t="shared" ca="1" si="23"/>
        <v>-4.7523446969908864E-3</v>
      </c>
      <c r="K149" s="4">
        <f t="shared" ca="1" si="24"/>
        <v>10.143691974304641</v>
      </c>
      <c r="L149">
        <f t="shared" ca="1" si="25"/>
        <v>1.7020928799209467E-2</v>
      </c>
      <c r="M149" s="4">
        <f t="shared" ca="1" si="26"/>
        <v>325.88707650929342</v>
      </c>
    </row>
    <row r="150" spans="1:13" x14ac:dyDescent="0.2">
      <c r="A150">
        <v>149</v>
      </c>
      <c r="B150" s="1">
        <v>298.25</v>
      </c>
      <c r="C150" s="1">
        <v>13.26</v>
      </c>
      <c r="D150" s="1">
        <v>268.81</v>
      </c>
      <c r="E150">
        <f t="shared" si="18"/>
        <v>1.1092307052136508E-2</v>
      </c>
      <c r="F150">
        <f t="shared" si="19"/>
        <v>-4.2810965431807048E-2</v>
      </c>
      <c r="G150">
        <f t="shared" si="20"/>
        <v>2.2535423122463517E-2</v>
      </c>
      <c r="H150">
        <f t="shared" ca="1" si="21"/>
        <v>-4.5149020975954433E-3</v>
      </c>
      <c r="I150" s="4">
        <f t="shared" ca="1" si="22"/>
        <v>336.93913008838376</v>
      </c>
      <c r="J150">
        <f t="shared" ca="1" si="23"/>
        <v>6.4457954368258739E-3</v>
      </c>
      <c r="K150" s="4">
        <f t="shared" ca="1" si="24"/>
        <v>10.209287317713482</v>
      </c>
      <c r="L150">
        <f t="shared" ca="1" si="25"/>
        <v>-2.2499939560871238E-2</v>
      </c>
      <c r="M150" s="4">
        <f t="shared" ca="1" si="26"/>
        <v>318.63651150039368</v>
      </c>
    </row>
    <row r="151" spans="1:13" x14ac:dyDescent="0.2">
      <c r="A151">
        <v>150</v>
      </c>
      <c r="B151" s="1">
        <v>301.52999999999997</v>
      </c>
      <c r="C151" s="1">
        <v>13.13</v>
      </c>
      <c r="D151" s="1">
        <v>269</v>
      </c>
      <c r="E151">
        <f t="shared" si="18"/>
        <v>1.0937452726732501E-2</v>
      </c>
      <c r="F151">
        <f t="shared" si="19"/>
        <v>-9.8522964430115944E-3</v>
      </c>
      <c r="G151">
        <f t="shared" si="20"/>
        <v>7.0656926388370416E-4</v>
      </c>
      <c r="H151">
        <f t="shared" ca="1" si="21"/>
        <v>1.7043486921538566E-3</v>
      </c>
      <c r="I151" s="4">
        <f t="shared" ca="1" si="22"/>
        <v>337.51388150336822</v>
      </c>
      <c r="J151">
        <f t="shared" ca="1" si="23"/>
        <v>-8.8920610717685561E-3</v>
      </c>
      <c r="K151" s="4">
        <f t="shared" ca="1" si="24"/>
        <v>10.118908135502357</v>
      </c>
      <c r="L151">
        <f t="shared" ca="1" si="25"/>
        <v>-1.0835996172404929E-2</v>
      </c>
      <c r="M151" s="4">
        <f t="shared" ca="1" si="26"/>
        <v>315.20240705500646</v>
      </c>
    </row>
    <row r="152" spans="1:13" x14ac:dyDescent="0.2">
      <c r="A152">
        <v>151</v>
      </c>
      <c r="B152" s="1">
        <v>305.08999999999997</v>
      </c>
      <c r="C152" s="1">
        <v>13.24</v>
      </c>
      <c r="D152" s="1">
        <v>269.7</v>
      </c>
      <c r="E152">
        <f t="shared" si="18"/>
        <v>1.1737301341745681E-2</v>
      </c>
      <c r="F152">
        <f t="shared" si="19"/>
        <v>8.3428621941571881E-3</v>
      </c>
      <c r="G152">
        <f t="shared" si="20"/>
        <v>2.5988505438451492E-3</v>
      </c>
      <c r="H152">
        <f t="shared" ca="1" si="21"/>
        <v>1.4596856801347306E-2</v>
      </c>
      <c r="I152" s="4">
        <f t="shared" ca="1" si="22"/>
        <v>342.47665563466097</v>
      </c>
      <c r="J152">
        <f t="shared" ca="1" si="23"/>
        <v>3.3695787537640922E-3</v>
      </c>
      <c r="K152" s="4">
        <f t="shared" ca="1" si="24"/>
        <v>10.153062103293637</v>
      </c>
      <c r="L152">
        <f t="shared" ca="1" si="25"/>
        <v>2.9142777946737784E-3</v>
      </c>
      <c r="M152" s="4">
        <f t="shared" ca="1" si="26"/>
        <v>316.12233424132097</v>
      </c>
    </row>
    <row r="153" spans="1:13" x14ac:dyDescent="0.2">
      <c r="A153">
        <v>152</v>
      </c>
      <c r="B153" s="1">
        <v>303.22000000000003</v>
      </c>
      <c r="C153" s="1">
        <v>13.06</v>
      </c>
      <c r="D153" s="1">
        <v>271.39999999999998</v>
      </c>
      <c r="E153">
        <f t="shared" si="18"/>
        <v>-6.1482003930679388E-3</v>
      </c>
      <c r="F153">
        <f t="shared" si="19"/>
        <v>-1.368842666057709E-2</v>
      </c>
      <c r="G153">
        <f t="shared" si="20"/>
        <v>6.2835172550845036E-3</v>
      </c>
      <c r="H153">
        <f t="shared" ca="1" si="21"/>
        <v>1.6751123844393916E-2</v>
      </c>
      <c r="I153" s="4">
        <f t="shared" ca="1" si="22"/>
        <v>348.26184342920146</v>
      </c>
      <c r="J153">
        <f t="shared" ca="1" si="23"/>
        <v>9.2206701045754753E-4</v>
      </c>
      <c r="K153" s="4">
        <f t="shared" ca="1" si="24"/>
        <v>10.162428224346234</v>
      </c>
      <c r="L153">
        <f t="shared" ca="1" si="25"/>
        <v>-1.1201814038451365E-2</v>
      </c>
      <c r="M153" s="4">
        <f t="shared" ca="1" si="26"/>
        <v>312.60095040524055</v>
      </c>
    </row>
    <row r="154" spans="1:13" x14ac:dyDescent="0.2">
      <c r="A154">
        <v>153</v>
      </c>
      <c r="B154" s="1">
        <v>300.43</v>
      </c>
      <c r="C154" s="1">
        <v>13.13</v>
      </c>
      <c r="D154" s="1">
        <v>270.37</v>
      </c>
      <c r="E154">
        <f t="shared" si="18"/>
        <v>-9.2438329056095843E-3</v>
      </c>
      <c r="F154">
        <f t="shared" si="19"/>
        <v>5.3455644664198981E-3</v>
      </c>
      <c r="G154">
        <f t="shared" si="20"/>
        <v>-3.8023561325672382E-3</v>
      </c>
      <c r="H154">
        <f t="shared" ca="1" si="21"/>
        <v>-1.4813192625466218E-2</v>
      </c>
      <c r="I154" s="4">
        <f t="shared" ca="1" si="22"/>
        <v>343.14099535179332</v>
      </c>
      <c r="J154">
        <f t="shared" ca="1" si="23"/>
        <v>-1.3332886848723146E-2</v>
      </c>
      <c r="K154" s="4">
        <f t="shared" ca="1" si="24"/>
        <v>10.027832984140883</v>
      </c>
      <c r="L154">
        <f t="shared" ca="1" si="25"/>
        <v>4.9472532803332874E-3</v>
      </c>
      <c r="M154" s="4">
        <f t="shared" ca="1" si="26"/>
        <v>314.15129830232479</v>
      </c>
    </row>
    <row r="155" spans="1:13" x14ac:dyDescent="0.2">
      <c r="A155">
        <v>154</v>
      </c>
      <c r="B155" s="1">
        <v>304.86</v>
      </c>
      <c r="C155" s="1">
        <v>13.01</v>
      </c>
      <c r="D155" s="1">
        <v>269.05</v>
      </c>
      <c r="E155">
        <f t="shared" si="18"/>
        <v>1.463787308586949E-2</v>
      </c>
      <c r="F155">
        <f t="shared" si="19"/>
        <v>-9.1813957902909544E-3</v>
      </c>
      <c r="G155">
        <f t="shared" si="20"/>
        <v>-4.8941553327728152E-3</v>
      </c>
      <c r="H155">
        <f t="shared" ca="1" si="21"/>
        <v>-1.2516643148849062E-2</v>
      </c>
      <c r="I155" s="4">
        <f t="shared" ca="1" si="22"/>
        <v>338.87278949159565</v>
      </c>
      <c r="J155">
        <f t="shared" ca="1" si="23"/>
        <v>-5.682268268579399E-3</v>
      </c>
      <c r="K155" s="4">
        <f t="shared" ca="1" si="24"/>
        <v>9.9710137309745477</v>
      </c>
      <c r="L155">
        <f t="shared" ca="1" si="25"/>
        <v>-8.1710608411151107E-3</v>
      </c>
      <c r="M155" s="4">
        <f t="shared" ca="1" si="26"/>
        <v>311.59480777432475</v>
      </c>
    </row>
    <row r="156" spans="1:13" x14ac:dyDescent="0.2">
      <c r="A156">
        <v>155</v>
      </c>
      <c r="B156" s="1">
        <v>294.05</v>
      </c>
      <c r="C156" s="1">
        <v>12.79</v>
      </c>
      <c r="D156" s="1">
        <v>270.04000000000002</v>
      </c>
      <c r="E156">
        <f t="shared" si="18"/>
        <v>-3.6102833927730518E-2</v>
      </c>
      <c r="F156">
        <f t="shared" si="19"/>
        <v>-1.7054676933662635E-2</v>
      </c>
      <c r="G156">
        <f t="shared" si="20"/>
        <v>3.6728602382412124E-3</v>
      </c>
      <c r="H156">
        <f t="shared" ca="1" si="21"/>
        <v>1.5995653767854803E-3</v>
      </c>
      <c r="I156" s="4">
        <f t="shared" ca="1" si="22"/>
        <v>339.41527242559363</v>
      </c>
      <c r="J156">
        <f t="shared" ca="1" si="23"/>
        <v>-5.2775857214643965E-3</v>
      </c>
      <c r="K156" s="4">
        <f t="shared" ca="1" si="24"/>
        <v>9.9185294681972511</v>
      </c>
      <c r="L156">
        <f t="shared" ca="1" si="25"/>
        <v>1.4193342481187568E-3</v>
      </c>
      <c r="M156" s="4">
        <f t="shared" ca="1" si="26"/>
        <v>312.03737896045868</v>
      </c>
    </row>
    <row r="157" spans="1:13" x14ac:dyDescent="0.2">
      <c r="A157">
        <v>156</v>
      </c>
      <c r="B157" s="1">
        <v>293.64</v>
      </c>
      <c r="C157" s="1">
        <v>13.11</v>
      </c>
      <c r="D157" s="1">
        <v>270.14</v>
      </c>
      <c r="E157">
        <f t="shared" si="18"/>
        <v>-1.395293663384476E-3</v>
      </c>
      <c r="F157">
        <f t="shared" si="19"/>
        <v>2.471168218485709E-2</v>
      </c>
      <c r="G157">
        <f t="shared" si="20"/>
        <v>3.7024695894810876E-4</v>
      </c>
      <c r="H157">
        <f t="shared" ca="1" si="21"/>
        <v>-2.4852981261375806E-2</v>
      </c>
      <c r="I157" s="4">
        <f t="shared" ca="1" si="22"/>
        <v>331.08375142806108</v>
      </c>
      <c r="J157">
        <f t="shared" ca="1" si="23"/>
        <v>1.8605483328569001E-2</v>
      </c>
      <c r="K157" s="4">
        <f t="shared" ca="1" si="24"/>
        <v>10.10479591833059</v>
      </c>
      <c r="L157">
        <f t="shared" ca="1" si="25"/>
        <v>-3.5757560681849037E-3</v>
      </c>
      <c r="M157" s="4">
        <f t="shared" ca="1" si="26"/>
        <v>310.92360189342548</v>
      </c>
    </row>
    <row r="158" spans="1:13" x14ac:dyDescent="0.2">
      <c r="A158">
        <v>157</v>
      </c>
      <c r="B158" s="1">
        <v>289.24</v>
      </c>
      <c r="C158" s="1">
        <v>13.12</v>
      </c>
      <c r="D158" s="1">
        <v>269.77</v>
      </c>
      <c r="E158">
        <f t="shared" si="18"/>
        <v>-1.50977339358294E-2</v>
      </c>
      <c r="F158">
        <f t="shared" si="19"/>
        <v>7.6248574033439538E-4</v>
      </c>
      <c r="G158">
        <f t="shared" si="20"/>
        <v>-1.3705990180649203E-3</v>
      </c>
      <c r="H158">
        <f t="shared" ca="1" si="21"/>
        <v>9.9237437263976422E-3</v>
      </c>
      <c r="I158" s="4">
        <f t="shared" ca="1" si="22"/>
        <v>334.38569846920069</v>
      </c>
      <c r="J158">
        <f t="shared" ca="1" si="23"/>
        <v>9.8812308484228541E-3</v>
      </c>
      <c r="K158" s="4">
        <f t="shared" ca="1" si="24"/>
        <v>10.205138678018455</v>
      </c>
      <c r="L158">
        <f t="shared" ca="1" si="25"/>
        <v>1.3741968203281732E-2</v>
      </c>
      <c r="M158" s="4">
        <f t="shared" ca="1" si="26"/>
        <v>315.22579675418592</v>
      </c>
    </row>
    <row r="159" spans="1:13" x14ac:dyDescent="0.2">
      <c r="A159">
        <v>158</v>
      </c>
      <c r="B159" s="1">
        <v>286.5</v>
      </c>
      <c r="C159" s="1">
        <v>13.21</v>
      </c>
      <c r="D159" s="1">
        <v>268.47000000000003</v>
      </c>
      <c r="E159">
        <f t="shared" si="18"/>
        <v>-9.5182571519568972E-3</v>
      </c>
      <c r="F159">
        <f t="shared" si="19"/>
        <v>6.836335018291167E-3</v>
      </c>
      <c r="G159">
        <f t="shared" si="20"/>
        <v>-4.8305682516764535E-3</v>
      </c>
      <c r="H159">
        <f t="shared" ca="1" si="21"/>
        <v>1.3047316537554199E-2</v>
      </c>
      <c r="I159" s="4">
        <f t="shared" ca="1" si="22"/>
        <v>338.77712036179503</v>
      </c>
      <c r="J159">
        <f t="shared" ca="1" si="23"/>
        <v>-1.6376551829577569E-2</v>
      </c>
      <c r="K159" s="4">
        <f t="shared" ca="1" si="24"/>
        <v>10.039374721234498</v>
      </c>
      <c r="L159">
        <f t="shared" ca="1" si="25"/>
        <v>1.414796752547718E-2</v>
      </c>
      <c r="M159" s="4">
        <f t="shared" ca="1" si="26"/>
        <v>319.71729898382648</v>
      </c>
    </row>
    <row r="160" spans="1:13" x14ac:dyDescent="0.2">
      <c r="A160">
        <v>159</v>
      </c>
      <c r="B160" s="1">
        <v>295.27</v>
      </c>
      <c r="C160" s="1">
        <v>13.16</v>
      </c>
      <c r="D160" s="1">
        <v>269.43</v>
      </c>
      <c r="E160">
        <f t="shared" si="18"/>
        <v>3.0151655832545449E-2</v>
      </c>
      <c r="F160">
        <f t="shared" si="19"/>
        <v>-3.792192637062917E-3</v>
      </c>
      <c r="G160">
        <f t="shared" si="20"/>
        <v>3.5694404880914532E-3</v>
      </c>
      <c r="H160">
        <f t="shared" ca="1" si="21"/>
        <v>-2.2076474163028031E-2</v>
      </c>
      <c r="I160" s="4">
        <f t="shared" ca="1" si="22"/>
        <v>331.38006687040706</v>
      </c>
      <c r="J160">
        <f t="shared" ca="1" si="23"/>
        <v>-1.6538089133961566E-2</v>
      </c>
      <c r="K160" s="4">
        <f t="shared" ca="1" si="24"/>
        <v>9.87470803652627</v>
      </c>
      <c r="L160">
        <f t="shared" ca="1" si="25"/>
        <v>3.30692022757402E-2</v>
      </c>
      <c r="M160" s="4">
        <f t="shared" ca="1" si="26"/>
        <v>330.4668550366556</v>
      </c>
    </row>
    <row r="161" spans="1:13" x14ac:dyDescent="0.2">
      <c r="A161">
        <v>160</v>
      </c>
      <c r="B161" s="1">
        <v>291.17</v>
      </c>
      <c r="C161" s="1">
        <v>13.3</v>
      </c>
      <c r="D161" s="1">
        <v>275.25</v>
      </c>
      <c r="E161">
        <f t="shared" si="18"/>
        <v>-1.3982902949959193E-2</v>
      </c>
      <c r="F161">
        <f t="shared" si="19"/>
        <v>1.0582109330537008E-2</v>
      </c>
      <c r="G161">
        <f t="shared" si="20"/>
        <v>2.1371159251821259E-2</v>
      </c>
      <c r="H161">
        <f t="shared" ca="1" si="21"/>
        <v>-2.2222375248621123E-2</v>
      </c>
      <c r="I161" s="4">
        <f t="shared" ca="1" si="22"/>
        <v>324.09723528929794</v>
      </c>
      <c r="J161">
        <f t="shared" ca="1" si="23"/>
        <v>-1.2972259326152685E-2</v>
      </c>
      <c r="K161" s="4">
        <f t="shared" ca="1" si="24"/>
        <v>9.7474380375613521</v>
      </c>
      <c r="L161">
        <f t="shared" ca="1" si="25"/>
        <v>1.5197926787592604E-2</v>
      </c>
      <c r="M161" s="4">
        <f t="shared" ca="1" si="26"/>
        <v>335.5276253034869</v>
      </c>
    </row>
    <row r="162" spans="1:13" x14ac:dyDescent="0.2">
      <c r="A162">
        <v>161</v>
      </c>
      <c r="B162" s="1">
        <v>290.62</v>
      </c>
      <c r="C162" s="1">
        <v>13.45</v>
      </c>
      <c r="D162" s="1">
        <v>273.47000000000003</v>
      </c>
      <c r="E162">
        <f t="shared" si="18"/>
        <v>-1.8907171448307269E-3</v>
      </c>
      <c r="F162">
        <f t="shared" si="19"/>
        <v>1.1215070820140003E-2</v>
      </c>
      <c r="G162">
        <f t="shared" si="20"/>
        <v>-6.4878489709490634E-3</v>
      </c>
      <c r="H162">
        <f t="shared" ca="1" si="21"/>
        <v>5.9295645813171621E-2</v>
      </c>
      <c r="I162" s="4">
        <f t="shared" ca="1" si="22"/>
        <v>343.89597916575008</v>
      </c>
      <c r="J162">
        <f t="shared" ca="1" si="23"/>
        <v>-2.2694753096468349E-2</v>
      </c>
      <c r="K162" s="4">
        <f t="shared" ca="1" si="24"/>
        <v>9.5287136734798086</v>
      </c>
      <c r="L162">
        <f t="shared" ca="1" si="25"/>
        <v>1.8967816509928487E-2</v>
      </c>
      <c r="M162" s="4">
        <f t="shared" ca="1" si="26"/>
        <v>341.95259290851772</v>
      </c>
    </row>
    <row r="163" spans="1:13" x14ac:dyDescent="0.2">
      <c r="A163">
        <v>162</v>
      </c>
      <c r="B163" s="1">
        <v>282.2</v>
      </c>
      <c r="C163" s="1">
        <v>13.28</v>
      </c>
      <c r="D163" s="1">
        <v>272.95</v>
      </c>
      <c r="E163">
        <f t="shared" si="18"/>
        <v>-2.9400532473836283E-2</v>
      </c>
      <c r="F163">
        <f t="shared" si="19"/>
        <v>-1.2719961999560294E-2</v>
      </c>
      <c r="G163">
        <f t="shared" si="20"/>
        <v>-1.903298404073698E-3</v>
      </c>
      <c r="H163">
        <f t="shared" ca="1" si="21"/>
        <v>-1.1399887156140518E-2</v>
      </c>
      <c r="I163" s="4">
        <f t="shared" ca="1" si="22"/>
        <v>339.99786505594545</v>
      </c>
      <c r="J163">
        <f t="shared" ca="1" si="23"/>
        <v>-1.3569525686906378E-3</v>
      </c>
      <c r="K163" s="4">
        <f t="shared" ca="1" si="24"/>
        <v>9.5157924297243941</v>
      </c>
      <c r="L163">
        <f t="shared" ca="1" si="25"/>
        <v>7.4080003678972037E-3</v>
      </c>
      <c r="M163" s="4">
        <f t="shared" ca="1" si="26"/>
        <v>344.49518397257486</v>
      </c>
    </row>
    <row r="164" spans="1:13" x14ac:dyDescent="0.2">
      <c r="A164">
        <v>163</v>
      </c>
      <c r="B164" s="1">
        <v>284.82</v>
      </c>
      <c r="C164" s="1">
        <v>13.19</v>
      </c>
      <c r="D164" s="1">
        <v>272.41000000000003</v>
      </c>
      <c r="E164">
        <f t="shared" si="18"/>
        <v>9.2413623725680991E-3</v>
      </c>
      <c r="F164">
        <f t="shared" si="19"/>
        <v>-6.8001773190645353E-3</v>
      </c>
      <c r="G164">
        <f t="shared" si="20"/>
        <v>-1.9803439067010314E-3</v>
      </c>
      <c r="H164">
        <f t="shared" ca="1" si="21"/>
        <v>7.4004130633293936E-3</v>
      </c>
      <c r="I164" s="4">
        <f t="shared" ca="1" si="22"/>
        <v>342.5233228877924</v>
      </c>
      <c r="J164">
        <f t="shared" ca="1" si="23"/>
        <v>2.3725023739789193E-2</v>
      </c>
      <c r="K164" s="4">
        <f t="shared" ca="1" si="24"/>
        <v>9.7442542458077437</v>
      </c>
      <c r="L164">
        <f t="shared" ca="1" si="25"/>
        <v>-4.6704468323806652E-3</v>
      </c>
      <c r="M164" s="4">
        <f t="shared" ca="1" si="26"/>
        <v>342.88998893870246</v>
      </c>
    </row>
    <row r="165" spans="1:13" x14ac:dyDescent="0.2">
      <c r="A165">
        <v>164</v>
      </c>
      <c r="B165" s="1">
        <v>282.01</v>
      </c>
      <c r="C165" s="1">
        <v>12.88</v>
      </c>
      <c r="D165" s="1">
        <v>267.45999999999998</v>
      </c>
      <c r="E165">
        <f t="shared" si="18"/>
        <v>-9.914870488986401E-3</v>
      </c>
      <c r="F165">
        <f t="shared" si="19"/>
        <v>-2.3783246053015576E-2</v>
      </c>
      <c r="G165">
        <f t="shared" si="20"/>
        <v>-1.8338261876415136E-2</v>
      </c>
      <c r="H165">
        <f t="shared" ca="1" si="21"/>
        <v>4.3000147795908751E-2</v>
      </c>
      <c r="I165" s="4">
        <f t="shared" ca="1" si="22"/>
        <v>357.57312948056034</v>
      </c>
      <c r="J165">
        <f t="shared" ca="1" si="23"/>
        <v>2.2452607523891603E-2</v>
      </c>
      <c r="K165" s="4">
        <f t="shared" ca="1" si="24"/>
        <v>9.9655127825600101</v>
      </c>
      <c r="L165">
        <f t="shared" ca="1" si="25"/>
        <v>-7.5502715494043639E-3</v>
      </c>
      <c r="M165" s="4">
        <f t="shared" ca="1" si="26"/>
        <v>340.3108253557877</v>
      </c>
    </row>
    <row r="166" spans="1:13" x14ac:dyDescent="0.2">
      <c r="A166">
        <v>165</v>
      </c>
      <c r="B166" s="1">
        <v>277.91000000000003</v>
      </c>
      <c r="C166" s="1">
        <v>13.02</v>
      </c>
      <c r="D166" s="1">
        <v>267.44</v>
      </c>
      <c r="E166">
        <f t="shared" si="18"/>
        <v>-1.4645211034285103E-2</v>
      </c>
      <c r="F166">
        <f t="shared" si="19"/>
        <v>1.0810916104215456E-2</v>
      </c>
      <c r="G166">
        <f t="shared" si="20"/>
        <v>-7.4780332807222467E-5</v>
      </c>
      <c r="H166">
        <f t="shared" ca="1" si="21"/>
        <v>1.4989809291881065E-3</v>
      </c>
      <c r="I166" s="4">
        <f t="shared" ca="1" si="22"/>
        <v>358.1095267066101</v>
      </c>
      <c r="J166">
        <f t="shared" ca="1" si="23"/>
        <v>1.2327343696609917E-2</v>
      </c>
      <c r="K166" s="4">
        <f t="shared" ca="1" si="24"/>
        <v>10.089121401379385</v>
      </c>
      <c r="L166">
        <f t="shared" ca="1" si="25"/>
        <v>1.3294532505853857E-2</v>
      </c>
      <c r="M166" s="4">
        <f t="shared" ca="1" si="26"/>
        <v>344.86530645260672</v>
      </c>
    </row>
    <row r="167" spans="1:13" x14ac:dyDescent="0.2">
      <c r="A167">
        <v>166</v>
      </c>
      <c r="B167" s="1">
        <v>282.37</v>
      </c>
      <c r="C167" s="1">
        <v>12.9</v>
      </c>
      <c r="D167" s="1">
        <v>268.56</v>
      </c>
      <c r="E167">
        <f t="shared" si="18"/>
        <v>1.5920947413409554E-2</v>
      </c>
      <c r="F167">
        <f t="shared" si="19"/>
        <v>-9.2593254127967123E-3</v>
      </c>
      <c r="G167">
        <f t="shared" si="20"/>
        <v>4.1791105599363393E-3</v>
      </c>
      <c r="H167">
        <f t="shared" ca="1" si="21"/>
        <v>-1.7286365259814626E-2</v>
      </c>
      <c r="I167" s="4">
        <f t="shared" ca="1" si="22"/>
        <v>351.97231251334648</v>
      </c>
      <c r="J167">
        <f t="shared" ca="1" si="23"/>
        <v>6.5576686616872683E-3</v>
      </c>
      <c r="K167" s="4">
        <f t="shared" ca="1" si="24"/>
        <v>10.155499922919532</v>
      </c>
      <c r="L167">
        <f t="shared" ca="1" si="25"/>
        <v>-1.8327661904876162E-2</v>
      </c>
      <c r="M167" s="4">
        <f t="shared" ca="1" si="26"/>
        <v>338.60230015683879</v>
      </c>
    </row>
    <row r="168" spans="1:13" x14ac:dyDescent="0.2">
      <c r="A168">
        <v>167</v>
      </c>
      <c r="B168" s="1">
        <v>277.5</v>
      </c>
      <c r="C168" s="1">
        <v>12.41</v>
      </c>
      <c r="D168" s="1">
        <v>266.25</v>
      </c>
      <c r="E168">
        <f t="shared" si="18"/>
        <v>-1.7397334494930375E-2</v>
      </c>
      <c r="F168">
        <f t="shared" si="19"/>
        <v>-3.872471215111057E-2</v>
      </c>
      <c r="G168">
        <f t="shared" si="20"/>
        <v>-8.6386356481446304E-3</v>
      </c>
      <c r="H168">
        <f t="shared" ca="1" si="21"/>
        <v>2.1475380860959188E-2</v>
      </c>
      <c r="I168" s="4">
        <f t="shared" ca="1" si="22"/>
        <v>359.61279951926844</v>
      </c>
      <c r="J168">
        <f t="shared" ca="1" si="23"/>
        <v>9.2863573322277057E-3</v>
      </c>
      <c r="K168" s="4">
        <f t="shared" ca="1" si="24"/>
        <v>10.250246769744171</v>
      </c>
      <c r="L168">
        <f t="shared" ca="1" si="25"/>
        <v>-2.5277865447463958E-2</v>
      </c>
      <c r="M168" s="4">
        <f t="shared" ca="1" si="26"/>
        <v>330.15042943524509</v>
      </c>
    </row>
    <row r="169" spans="1:13" x14ac:dyDescent="0.2">
      <c r="A169">
        <v>168</v>
      </c>
      <c r="B169" s="1">
        <v>275.06</v>
      </c>
      <c r="C169" s="1">
        <v>12.83</v>
      </c>
      <c r="D169" s="1">
        <v>271.49</v>
      </c>
      <c r="E169">
        <f t="shared" si="18"/>
        <v>-8.8316774999274671E-3</v>
      </c>
      <c r="F169">
        <f t="shared" si="19"/>
        <v>3.3283579411029135E-2</v>
      </c>
      <c r="G169">
        <f t="shared" si="20"/>
        <v>1.9489589259502289E-2</v>
      </c>
      <c r="H169">
        <f t="shared" ca="1" si="21"/>
        <v>-9.3583287648900688E-3</v>
      </c>
      <c r="I169" s="4">
        <f t="shared" ca="1" si="22"/>
        <v>356.26312284763077</v>
      </c>
      <c r="J169">
        <f t="shared" ca="1" si="23"/>
        <v>2.325702521447311E-2</v>
      </c>
      <c r="K169" s="4">
        <f t="shared" ca="1" si="24"/>
        <v>10.491430757309132</v>
      </c>
      <c r="L169">
        <f t="shared" ca="1" si="25"/>
        <v>2.4102924941830126E-2</v>
      </c>
      <c r="M169" s="4">
        <f t="shared" ca="1" si="26"/>
        <v>338.20469622530641</v>
      </c>
    </row>
    <row r="170" spans="1:13" x14ac:dyDescent="0.2">
      <c r="A170">
        <v>169</v>
      </c>
      <c r="B170" s="1">
        <v>284.64</v>
      </c>
      <c r="C170" s="1">
        <v>12.96</v>
      </c>
      <c r="D170" s="1">
        <v>275.92</v>
      </c>
      <c r="E170">
        <f t="shared" si="18"/>
        <v>3.4235968230963219E-2</v>
      </c>
      <c r="F170">
        <f t="shared" si="19"/>
        <v>1.008151229658359E-2</v>
      </c>
      <c r="G170">
        <f t="shared" si="20"/>
        <v>1.6185662345448357E-2</v>
      </c>
      <c r="H170">
        <f t="shared" ca="1" si="21"/>
        <v>1.8918353371379586E-2</v>
      </c>
      <c r="I170" s="4">
        <f t="shared" ca="1" si="22"/>
        <v>363.0671924630401</v>
      </c>
      <c r="J170">
        <f t="shared" ca="1" si="23"/>
        <v>2.1791910872518919E-3</v>
      </c>
      <c r="K170" s="4">
        <f t="shared" ca="1" si="24"/>
        <v>10.514318519053591</v>
      </c>
      <c r="L170">
        <f t="shared" ca="1" si="25"/>
        <v>-2.5428481835428379E-2</v>
      </c>
      <c r="M170" s="4">
        <f t="shared" ca="1" si="26"/>
        <v>329.71308618330204</v>
      </c>
    </row>
    <row r="171" spans="1:13" x14ac:dyDescent="0.2">
      <c r="A171">
        <v>170</v>
      </c>
      <c r="B171" s="1">
        <v>284.68</v>
      </c>
      <c r="C171" s="1">
        <v>13.17</v>
      </c>
      <c r="D171" s="1">
        <v>276.97000000000003</v>
      </c>
      <c r="E171">
        <f t="shared" si="18"/>
        <v>1.4051851354539898E-4</v>
      </c>
      <c r="F171">
        <f t="shared" si="19"/>
        <v>1.6073824831061054E-2</v>
      </c>
      <c r="G171">
        <f t="shared" si="20"/>
        <v>3.7982284444352779E-3</v>
      </c>
      <c r="H171">
        <f t="shared" ca="1" si="21"/>
        <v>5.5342106339246137E-3</v>
      </c>
      <c r="I171" s="4">
        <f t="shared" ca="1" si="22"/>
        <v>365.08205296911052</v>
      </c>
      <c r="J171">
        <f t="shared" ca="1" si="23"/>
        <v>-5.3132992799895598E-3</v>
      </c>
      <c r="K171" s="4">
        <f t="shared" ca="1" si="24"/>
        <v>10.458600951174223</v>
      </c>
      <c r="L171">
        <f t="shared" ca="1" si="25"/>
        <v>1.7056179194226393E-2</v>
      </c>
      <c r="M171" s="4">
        <f t="shared" ca="1" si="26"/>
        <v>335.38496444857833</v>
      </c>
    </row>
    <row r="172" spans="1:13" x14ac:dyDescent="0.2">
      <c r="A172">
        <v>171</v>
      </c>
      <c r="B172" s="1">
        <v>289.95999999999998</v>
      </c>
      <c r="C172" s="1">
        <v>13.19</v>
      </c>
      <c r="D172" s="1">
        <v>277.55</v>
      </c>
      <c r="E172">
        <f t="shared" si="18"/>
        <v>1.8377240001606485E-2</v>
      </c>
      <c r="F172">
        <f t="shared" si="19"/>
        <v>1.5174509740336296E-3</v>
      </c>
      <c r="G172">
        <f t="shared" si="20"/>
        <v>2.0919000631496021E-3</v>
      </c>
      <c r="H172">
        <f t="shared" ca="1" si="21"/>
        <v>-2.6048099981130564E-2</v>
      </c>
      <c r="I172" s="4">
        <f t="shared" ca="1" si="22"/>
        <v>355.69514545294373</v>
      </c>
      <c r="J172">
        <f t="shared" ca="1" si="23"/>
        <v>-4.0355885243937371E-2</v>
      </c>
      <c r="K172" s="4">
        <f t="shared" ca="1" si="24"/>
        <v>10.044937860842905</v>
      </c>
      <c r="L172">
        <f t="shared" ca="1" si="25"/>
        <v>-1.8809634672435835E-2</v>
      </c>
      <c r="M172" s="4">
        <f t="shared" ca="1" si="26"/>
        <v>329.13545553890435</v>
      </c>
    </row>
    <row r="173" spans="1:13" x14ac:dyDescent="0.2">
      <c r="A173">
        <v>172</v>
      </c>
      <c r="B173" s="1">
        <v>291.51</v>
      </c>
      <c r="C173" s="1">
        <v>13.28</v>
      </c>
      <c r="D173" s="1">
        <v>278.85000000000002</v>
      </c>
      <c r="E173">
        <f t="shared" si="18"/>
        <v>5.3313280867803986E-3</v>
      </c>
      <c r="F173">
        <f t="shared" si="19"/>
        <v>6.8001773190646412E-3</v>
      </c>
      <c r="G173">
        <f t="shared" si="20"/>
        <v>4.6729056993924231E-3</v>
      </c>
      <c r="H173">
        <f t="shared" ca="1" si="21"/>
        <v>3.4463071597719492E-4</v>
      </c>
      <c r="I173" s="4">
        <f t="shared" ca="1" si="22"/>
        <v>355.81775005103248</v>
      </c>
      <c r="J173">
        <f t="shared" ca="1" si="23"/>
        <v>-1.7969382777980027E-2</v>
      </c>
      <c r="K173" s="4">
        <f t="shared" ca="1" si="24"/>
        <v>9.8660486057568306</v>
      </c>
      <c r="L173">
        <f t="shared" ca="1" si="25"/>
        <v>6.4170346454958871E-3</v>
      </c>
      <c r="M173" s="4">
        <f t="shared" ca="1" si="26"/>
        <v>331.25432030352209</v>
      </c>
    </row>
    <row r="174" spans="1:13" x14ac:dyDescent="0.2">
      <c r="A174">
        <v>173</v>
      </c>
      <c r="B174" s="1">
        <v>287.68</v>
      </c>
      <c r="C174" s="1">
        <v>13.16</v>
      </c>
      <c r="D174" s="1">
        <v>283.10000000000002</v>
      </c>
      <c r="E174">
        <f t="shared" si="18"/>
        <v>-1.3225559236201759E-2</v>
      </c>
      <c r="F174">
        <f t="shared" si="19"/>
        <v>-9.0772181511165392E-3</v>
      </c>
      <c r="G174">
        <f t="shared" si="20"/>
        <v>1.512618928229114E-2</v>
      </c>
      <c r="H174">
        <f t="shared" ca="1" si="21"/>
        <v>-9.4349239045567364E-3</v>
      </c>
      <c r="I174" s="4">
        <f t="shared" ca="1" si="22"/>
        <v>352.47642402024866</v>
      </c>
      <c r="J174">
        <f t="shared" ca="1" si="23"/>
        <v>-6.8405189612830951E-3</v>
      </c>
      <c r="K174" s="4">
        <f t="shared" ca="1" si="24"/>
        <v>9.7987900172884466</v>
      </c>
      <c r="L174">
        <f t="shared" ca="1" si="25"/>
        <v>3.3749346217116119E-3</v>
      </c>
      <c r="M174" s="4">
        <f t="shared" ca="1" si="26"/>
        <v>332.37417062557597</v>
      </c>
    </row>
    <row r="175" spans="1:13" x14ac:dyDescent="0.2">
      <c r="A175">
        <v>174</v>
      </c>
      <c r="B175" s="1">
        <v>292.08999999999997</v>
      </c>
      <c r="C175" s="1">
        <v>12.96</v>
      </c>
      <c r="D175" s="1">
        <v>286.19</v>
      </c>
      <c r="E175">
        <f t="shared" si="18"/>
        <v>1.5213222673335488E-2</v>
      </c>
      <c r="F175">
        <f t="shared" si="19"/>
        <v>-1.5314234973042481E-2</v>
      </c>
      <c r="G175">
        <f t="shared" si="20"/>
        <v>1.0855733793081178E-2</v>
      </c>
      <c r="H175">
        <f t="shared" ca="1" si="21"/>
        <v>-1.5544161338389048E-2</v>
      </c>
      <c r="I175" s="4">
        <f t="shared" ca="1" si="22"/>
        <v>347.03983667836224</v>
      </c>
      <c r="J175">
        <f t="shared" ca="1" si="23"/>
        <v>-2.3359608267074616E-2</v>
      </c>
      <c r="K175" s="4">
        <f t="shared" ca="1" si="24"/>
        <v>9.5725468842455506</v>
      </c>
      <c r="L175">
        <f t="shared" ca="1" si="25"/>
        <v>2.0597711591960589E-2</v>
      </c>
      <c r="M175" s="4">
        <f t="shared" ca="1" si="26"/>
        <v>339.29131201734958</v>
      </c>
    </row>
    <row r="176" spans="1:13" x14ac:dyDescent="0.2">
      <c r="A176">
        <v>175</v>
      </c>
      <c r="B176" s="1">
        <v>295.45</v>
      </c>
      <c r="C176" s="1">
        <v>13.09</v>
      </c>
      <c r="D176" s="1">
        <v>284.14999999999998</v>
      </c>
      <c r="E176">
        <f t="shared" si="18"/>
        <v>1.1437643835092576E-2</v>
      </c>
      <c r="F176">
        <f t="shared" si="19"/>
        <v>9.9808889976799146E-3</v>
      </c>
      <c r="G176">
        <f t="shared" si="20"/>
        <v>-7.1536581678047408E-3</v>
      </c>
      <c r="H176">
        <f t="shared" ca="1" si="21"/>
        <v>-1.5356372933409029E-2</v>
      </c>
      <c r="I176" s="4">
        <f t="shared" ca="1" si="22"/>
        <v>341.75127402166311</v>
      </c>
      <c r="J176">
        <f t="shared" ca="1" si="23"/>
        <v>1.7889575663797699E-2</v>
      </c>
      <c r="K176" s="4">
        <f t="shared" ca="1" si="24"/>
        <v>9.7453366455469101</v>
      </c>
      <c r="L176">
        <f t="shared" ca="1" si="25"/>
        <v>1.2811602333390286E-2</v>
      </c>
      <c r="M176" s="4">
        <f t="shared" ca="1" si="26"/>
        <v>343.66614183284702</v>
      </c>
    </row>
    <row r="177" spans="1:13" x14ac:dyDescent="0.2">
      <c r="A177">
        <v>176</v>
      </c>
      <c r="B177" s="1">
        <v>292.93</v>
      </c>
      <c r="C177" s="1">
        <v>13.14</v>
      </c>
      <c r="D177" s="1">
        <v>280.7</v>
      </c>
      <c r="E177">
        <f t="shared" si="18"/>
        <v>-8.5659451674721214E-3</v>
      </c>
      <c r="F177">
        <f t="shared" si="19"/>
        <v>3.8124331346559388E-3</v>
      </c>
      <c r="G177">
        <f t="shared" si="20"/>
        <v>-1.221578437529367E-2</v>
      </c>
      <c r="H177">
        <f t="shared" ca="1" si="21"/>
        <v>-2.0853749598357479E-2</v>
      </c>
      <c r="I177" s="4">
        <f t="shared" ca="1" si="22"/>
        <v>334.69827486562843</v>
      </c>
      <c r="J177">
        <f t="shared" ca="1" si="23"/>
        <v>1.3414369234171417E-2</v>
      </c>
      <c r="K177" s="4">
        <f t="shared" ca="1" si="24"/>
        <v>9.8769449372123539</v>
      </c>
      <c r="L177">
        <f t="shared" ca="1" si="25"/>
        <v>-1.5149588044950259E-2</v>
      </c>
      <c r="M177" s="4">
        <f t="shared" ca="1" si="26"/>
        <v>338.49898036875197</v>
      </c>
    </row>
    <row r="178" spans="1:13" x14ac:dyDescent="0.2">
      <c r="A178">
        <v>177</v>
      </c>
      <c r="B178" s="1">
        <v>294.72000000000003</v>
      </c>
      <c r="C178" s="1">
        <v>13.03</v>
      </c>
      <c r="D178" s="1">
        <v>278.77999999999997</v>
      </c>
      <c r="E178">
        <f t="shared" si="18"/>
        <v>6.0920804427306574E-3</v>
      </c>
      <c r="F178">
        <f t="shared" si="19"/>
        <v>-8.4066219197107862E-3</v>
      </c>
      <c r="G178">
        <f t="shared" si="20"/>
        <v>-6.863543066096575E-3</v>
      </c>
      <c r="H178">
        <f t="shared" ca="1" si="21"/>
        <v>1.7781794687070671E-2</v>
      </c>
      <c r="I178" s="4">
        <f t="shared" ca="1" si="22"/>
        <v>340.703040404538</v>
      </c>
      <c r="J178">
        <f t="shared" ca="1" si="23"/>
        <v>3.5177954485565979E-3</v>
      </c>
      <c r="K178" s="4">
        <f t="shared" ca="1" si="24"/>
        <v>9.9117511939102094</v>
      </c>
      <c r="L178">
        <f t="shared" ca="1" si="25"/>
        <v>1.8829735767554031E-2</v>
      </c>
      <c r="M178" s="4">
        <f t="shared" ca="1" si="26"/>
        <v>344.93321407852102</v>
      </c>
    </row>
    <row r="179" spans="1:13" x14ac:dyDescent="0.2">
      <c r="A179">
        <v>178</v>
      </c>
      <c r="B179" s="1">
        <v>301.87</v>
      </c>
      <c r="C179" s="1">
        <v>13.14</v>
      </c>
      <c r="D179" s="1">
        <v>277.89</v>
      </c>
      <c r="E179">
        <f t="shared" si="18"/>
        <v>2.3970708055726715E-2</v>
      </c>
      <c r="F179">
        <f t="shared" si="19"/>
        <v>8.4066219197107654E-3</v>
      </c>
      <c r="G179">
        <f t="shared" si="20"/>
        <v>-3.1975883676944017E-3</v>
      </c>
      <c r="H179">
        <f t="shared" ca="1" si="21"/>
        <v>-1.8288351751830825E-2</v>
      </c>
      <c r="I179" s="4">
        <f t="shared" ca="1" si="22"/>
        <v>334.52877402448092</v>
      </c>
      <c r="J179">
        <f t="shared" ca="1" si="23"/>
        <v>7.8972186188921694E-3</v>
      </c>
      <c r="K179" s="4">
        <f t="shared" ca="1" si="24"/>
        <v>9.9903363536577938</v>
      </c>
      <c r="L179">
        <f t="shared" ca="1" si="25"/>
        <v>-1.4154136371084306E-3</v>
      </c>
      <c r="M179" s="4">
        <f t="shared" ca="1" si="26"/>
        <v>344.44533625933292</v>
      </c>
    </row>
    <row r="180" spans="1:13" x14ac:dyDescent="0.2">
      <c r="A180">
        <v>179</v>
      </c>
      <c r="B180" s="1">
        <v>303.41000000000003</v>
      </c>
      <c r="C180" s="1">
        <v>13.08</v>
      </c>
      <c r="D180" s="1">
        <v>277.18</v>
      </c>
      <c r="E180">
        <f t="shared" si="18"/>
        <v>5.088565037658619E-3</v>
      </c>
      <c r="F180">
        <f t="shared" si="19"/>
        <v>-4.5766670274118666E-3</v>
      </c>
      <c r="G180">
        <f t="shared" si="20"/>
        <v>-2.5582372933893359E-3</v>
      </c>
      <c r="H180">
        <f t="shared" ca="1" si="21"/>
        <v>1.8053419478057556E-2</v>
      </c>
      <c r="I180" s="4">
        <f t="shared" ca="1" si="22"/>
        <v>340.62300766607899</v>
      </c>
      <c r="J180">
        <f t="shared" ca="1" si="23"/>
        <v>-7.2997697274954153E-4</v>
      </c>
      <c r="K180" s="4">
        <f t="shared" ca="1" si="24"/>
        <v>9.9830462992792341</v>
      </c>
      <c r="L180">
        <f t="shared" ca="1" si="25"/>
        <v>-2.5590547346253036E-3</v>
      </c>
      <c r="M180" s="4">
        <f t="shared" ca="1" si="26"/>
        <v>343.56500867441713</v>
      </c>
    </row>
    <row r="181" spans="1:13" x14ac:dyDescent="0.2">
      <c r="A181">
        <v>180</v>
      </c>
      <c r="B181" s="1">
        <v>310.14</v>
      </c>
      <c r="C181" s="1">
        <v>13.41</v>
      </c>
      <c r="D181" s="1">
        <v>278.77999999999997</v>
      </c>
      <c r="E181">
        <f t="shared" si="18"/>
        <v>2.193878227567542E-2</v>
      </c>
      <c r="F181">
        <f t="shared" si="19"/>
        <v>2.4916351264534418E-2</v>
      </c>
      <c r="G181">
        <f t="shared" si="20"/>
        <v>5.7558256610836991E-3</v>
      </c>
      <c r="H181">
        <f t="shared" ca="1" si="21"/>
        <v>-3.7931461814428818E-3</v>
      </c>
      <c r="I181" s="4">
        <f t="shared" ca="1" si="22"/>
        <v>339.33342214464511</v>
      </c>
      <c r="J181">
        <f t="shared" ca="1" si="23"/>
        <v>-2.6150579106775154E-4</v>
      </c>
      <c r="K181" s="4">
        <f t="shared" ca="1" si="24"/>
        <v>9.9804360161764247</v>
      </c>
      <c r="L181">
        <f t="shared" ca="1" si="25"/>
        <v>3.0466381763282962E-2</v>
      </c>
      <c r="M181" s="4">
        <f t="shared" ca="1" si="26"/>
        <v>354.19327166426751</v>
      </c>
    </row>
    <row r="182" spans="1:13" x14ac:dyDescent="0.2">
      <c r="A182">
        <v>181</v>
      </c>
      <c r="B182" s="1">
        <v>304.85000000000002</v>
      </c>
      <c r="C182" s="1">
        <v>13.63</v>
      </c>
      <c r="D182" s="1">
        <v>278.02999999999997</v>
      </c>
      <c r="E182">
        <f t="shared" si="18"/>
        <v>-1.7203956082177733E-2</v>
      </c>
      <c r="F182">
        <f t="shared" si="19"/>
        <v>1.6272548414854187E-2</v>
      </c>
      <c r="G182">
        <f t="shared" si="20"/>
        <v>-2.6939187642996787E-3</v>
      </c>
      <c r="H182">
        <f t="shared" ca="1" si="21"/>
        <v>-5.1019576455513648E-3</v>
      </c>
      <c r="I182" s="4">
        <f t="shared" ca="1" si="22"/>
        <v>337.60656631562534</v>
      </c>
      <c r="J182">
        <f t="shared" ca="1" si="23"/>
        <v>1.398386766109962E-2</v>
      </c>
      <c r="K182" s="4">
        <f t="shared" ca="1" si="24"/>
        <v>10.120981507118049</v>
      </c>
      <c r="L182">
        <f t="shared" ca="1" si="25"/>
        <v>2.3055056298424376E-2</v>
      </c>
      <c r="M182" s="4">
        <f t="shared" ca="1" si="26"/>
        <v>362.45407825737561</v>
      </c>
    </row>
    <row r="183" spans="1:13" x14ac:dyDescent="0.2">
      <c r="A183">
        <v>182</v>
      </c>
      <c r="B183" s="1">
        <v>292.04000000000002</v>
      </c>
      <c r="C183" s="1">
        <v>13.76</v>
      </c>
      <c r="D183" s="1">
        <v>278.27999999999997</v>
      </c>
      <c r="E183">
        <f t="shared" si="18"/>
        <v>-4.2929073165940156E-2</v>
      </c>
      <c r="F183">
        <f t="shared" si="19"/>
        <v>9.4925867967562676E-3</v>
      </c>
      <c r="G183">
        <f t="shared" si="20"/>
        <v>8.9877951799999299E-4</v>
      </c>
      <c r="H183">
        <f t="shared" ca="1" si="21"/>
        <v>4.4624418367903311E-2</v>
      </c>
      <c r="I183" s="4">
        <f t="shared" ca="1" si="22"/>
        <v>353.01326385505479</v>
      </c>
      <c r="J183">
        <f t="shared" ca="1" si="23"/>
        <v>-3.2057041515206643E-2</v>
      </c>
      <c r="K183" s="4">
        <f t="shared" ca="1" si="24"/>
        <v>9.8016780882296146</v>
      </c>
      <c r="L183">
        <f t="shared" ca="1" si="25"/>
        <v>7.5123274072481511E-3</v>
      </c>
      <c r="M183" s="4">
        <f t="shared" ca="1" si="26"/>
        <v>365.18720518181789</v>
      </c>
    </row>
    <row r="184" spans="1:13" x14ac:dyDescent="0.2">
      <c r="A184">
        <v>183</v>
      </c>
      <c r="B184" s="1">
        <v>287.74</v>
      </c>
      <c r="C184" s="1">
        <v>13.65</v>
      </c>
      <c r="D184" s="1">
        <v>274.11</v>
      </c>
      <c r="E184">
        <f t="shared" si="18"/>
        <v>-1.4833484578998038E-2</v>
      </c>
      <c r="F184">
        <f t="shared" si="19"/>
        <v>-8.0263108742288213E-3</v>
      </c>
      <c r="G184">
        <f t="shared" si="20"/>
        <v>-1.509831537680152E-2</v>
      </c>
      <c r="H184">
        <f t="shared" ca="1" si="21"/>
        <v>9.1770680269952286E-4</v>
      </c>
      <c r="I184" s="4">
        <f t="shared" ca="1" si="22"/>
        <v>353.33737522559568</v>
      </c>
      <c r="J184">
        <f t="shared" ca="1" si="23"/>
        <v>-2.6364216512702845E-2</v>
      </c>
      <c r="K184" s="4">
        <f t="shared" ca="1" si="24"/>
        <v>9.5466412207624955</v>
      </c>
      <c r="L184">
        <f t="shared" ca="1" si="25"/>
        <v>-9.8403463928879199E-3</v>
      </c>
      <c r="M184" s="4">
        <f t="shared" ca="1" si="26"/>
        <v>361.61125971120833</v>
      </c>
    </row>
    <row r="185" spans="1:13" x14ac:dyDescent="0.2">
      <c r="A185">
        <v>184</v>
      </c>
      <c r="B185" s="1">
        <v>286.87</v>
      </c>
      <c r="C185" s="1">
        <v>13.67</v>
      </c>
      <c r="D185" s="1">
        <v>274.61</v>
      </c>
      <c r="E185">
        <f t="shared" si="18"/>
        <v>-3.0281431398673378E-3</v>
      </c>
      <c r="F185">
        <f t="shared" si="19"/>
        <v>1.464129104889448E-3</v>
      </c>
      <c r="G185">
        <f t="shared" si="20"/>
        <v>1.8224235981354902E-3</v>
      </c>
      <c r="H185">
        <f t="shared" ca="1" si="21"/>
        <v>3.9246214258793335E-2</v>
      </c>
      <c r="I185" s="4">
        <f t="shared" ca="1" si="22"/>
        <v>367.48024126753933</v>
      </c>
      <c r="J185">
        <f t="shared" ca="1" si="23"/>
        <v>2.449503829788572E-2</v>
      </c>
      <c r="K185" s="4">
        <f t="shared" ca="1" si="24"/>
        <v>9.7833741170997275</v>
      </c>
      <c r="L185">
        <f t="shared" ca="1" si="25"/>
        <v>3.7290490502759899E-2</v>
      </c>
      <c r="M185" s="4">
        <f t="shared" ca="1" si="26"/>
        <v>375.35050037898907</v>
      </c>
    </row>
    <row r="186" spans="1:13" x14ac:dyDescent="0.2">
      <c r="A186">
        <v>185</v>
      </c>
      <c r="B186" s="1">
        <v>276.95999999999998</v>
      </c>
      <c r="C186" s="1">
        <v>13.31</v>
      </c>
      <c r="D186" s="1">
        <v>271.83999999999997</v>
      </c>
      <c r="E186">
        <f t="shared" si="18"/>
        <v>-3.5156060041120589E-2</v>
      </c>
      <c r="F186">
        <f t="shared" si="19"/>
        <v>-2.6688018328837847E-2</v>
      </c>
      <c r="G186">
        <f t="shared" si="20"/>
        <v>-1.013825135315272E-2</v>
      </c>
      <c r="H186">
        <f t="shared" ca="1" si="21"/>
        <v>2.0898832673852088E-2</v>
      </c>
      <c r="I186" s="4">
        <f t="shared" ca="1" si="22"/>
        <v>375.24096187838802</v>
      </c>
      <c r="J186">
        <f t="shared" ca="1" si="23"/>
        <v>-1.3388473289544133E-2</v>
      </c>
      <c r="K186" s="4">
        <f t="shared" ca="1" si="24"/>
        <v>9.6532626147859695</v>
      </c>
      <c r="L186">
        <f t="shared" ca="1" si="25"/>
        <v>3.4058488696760217E-3</v>
      </c>
      <c r="M186" s="4">
        <f t="shared" ca="1" si="26"/>
        <v>376.63106692664149</v>
      </c>
    </row>
    <row r="187" spans="1:13" x14ac:dyDescent="0.2">
      <c r="A187">
        <v>186</v>
      </c>
      <c r="B187" s="1">
        <v>284.68</v>
      </c>
      <c r="C187" s="1">
        <v>13.32</v>
      </c>
      <c r="D187" s="1">
        <v>272.19</v>
      </c>
      <c r="E187">
        <f t="shared" si="18"/>
        <v>2.7492651003171404E-2</v>
      </c>
      <c r="F187">
        <f t="shared" si="19"/>
        <v>7.5103270522275075E-4</v>
      </c>
      <c r="G187">
        <f t="shared" si="20"/>
        <v>1.2866939260253387E-3</v>
      </c>
      <c r="H187">
        <f t="shared" ca="1" si="21"/>
        <v>-3.5090949534757779E-3</v>
      </c>
      <c r="I187" s="4">
        <f t="shared" ca="1" si="22"/>
        <v>373.92651332393302</v>
      </c>
      <c r="J187">
        <f t="shared" ca="1" si="23"/>
        <v>-5.9439524463950144E-3</v>
      </c>
      <c r="K187" s="4">
        <f t="shared" ca="1" si="24"/>
        <v>9.5960542711217762</v>
      </c>
      <c r="L187">
        <f t="shared" ca="1" si="25"/>
        <v>-4.4178434133257923E-3</v>
      </c>
      <c r="M187" s="4">
        <f t="shared" ca="1" si="26"/>
        <v>374.9708398602379</v>
      </c>
    </row>
    <row r="188" spans="1:13" x14ac:dyDescent="0.2">
      <c r="A188">
        <v>187</v>
      </c>
      <c r="B188" s="1">
        <v>288.95</v>
      </c>
      <c r="C188" s="1">
        <v>13.47</v>
      </c>
      <c r="D188" s="1">
        <v>273.67</v>
      </c>
      <c r="E188">
        <f t="shared" si="18"/>
        <v>1.4887920332716654E-2</v>
      </c>
      <c r="F188">
        <f t="shared" si="19"/>
        <v>1.1198325310029535E-2</v>
      </c>
      <c r="G188">
        <f t="shared" si="20"/>
        <v>5.4226491284583497E-3</v>
      </c>
      <c r="H188">
        <f t="shared" ca="1" si="21"/>
        <v>2.0661283867841256E-2</v>
      </c>
      <c r="I188" s="4">
        <f t="shared" ca="1" si="22"/>
        <v>381.73268018108098</v>
      </c>
      <c r="J188">
        <f t="shared" ca="1" si="23"/>
        <v>2.2177610134263556E-2</v>
      </c>
      <c r="K188" s="4">
        <f t="shared" ca="1" si="24"/>
        <v>9.8112492566524736</v>
      </c>
      <c r="L188">
        <f t="shared" ca="1" si="25"/>
        <v>-4.5796815360663046E-2</v>
      </c>
      <c r="M188" s="4">
        <f t="shared" ca="1" si="26"/>
        <v>358.18565709480714</v>
      </c>
    </row>
    <row r="189" spans="1:13" x14ac:dyDescent="0.2">
      <c r="A189">
        <v>188</v>
      </c>
      <c r="B189" s="1">
        <v>293.27999999999997</v>
      </c>
      <c r="C189" s="1">
        <v>13.46</v>
      </c>
      <c r="D189" s="1">
        <v>270.97000000000003</v>
      </c>
      <c r="E189">
        <f t="shared" si="18"/>
        <v>1.4874121327607896E-2</v>
      </c>
      <c r="F189">
        <f t="shared" si="19"/>
        <v>-7.4266620569089445E-4</v>
      </c>
      <c r="G189">
        <f t="shared" si="20"/>
        <v>-9.9148873332354798E-3</v>
      </c>
      <c r="H189">
        <f t="shared" ca="1" si="21"/>
        <v>-1.5094536394711441E-2</v>
      </c>
      <c r="I189" s="4">
        <f t="shared" ca="1" si="22"/>
        <v>376.01387230691552</v>
      </c>
      <c r="J189">
        <f t="shared" ca="1" si="23"/>
        <v>-3.4753093872990394E-3</v>
      </c>
      <c r="K189" s="4">
        <f t="shared" ca="1" si="24"/>
        <v>9.7772113104652014</v>
      </c>
      <c r="L189">
        <f t="shared" ca="1" si="25"/>
        <v>8.779128645530274E-3</v>
      </c>
      <c r="M189" s="4">
        <f t="shared" ca="1" si="26"/>
        <v>361.34405877915214</v>
      </c>
    </row>
    <row r="190" spans="1:13" x14ac:dyDescent="0.2">
      <c r="A190">
        <v>189</v>
      </c>
      <c r="B190" s="1">
        <v>296.95</v>
      </c>
      <c r="C190" s="1">
        <v>13.29</v>
      </c>
      <c r="D190" s="1">
        <v>272.36</v>
      </c>
      <c r="E190">
        <f t="shared" si="18"/>
        <v>1.2435990370474404E-2</v>
      </c>
      <c r="F190">
        <f t="shared" si="19"/>
        <v>-1.2710451491427964E-2</v>
      </c>
      <c r="G190">
        <f t="shared" si="20"/>
        <v>5.116606969895846E-3</v>
      </c>
      <c r="H190">
        <f t="shared" ca="1" si="21"/>
        <v>2.4016345750895441E-2</v>
      </c>
      <c r="I190" s="4">
        <f t="shared" ca="1" si="22"/>
        <v>385.15366437093525</v>
      </c>
      <c r="J190">
        <f t="shared" ca="1" si="23"/>
        <v>1.2320824783725502E-2</v>
      </c>
      <c r="K190" s="4">
        <f t="shared" ca="1" si="24"/>
        <v>9.8984197787340733</v>
      </c>
      <c r="L190">
        <f t="shared" ca="1" si="25"/>
        <v>-4.9525150261904597E-3</v>
      </c>
      <c r="M190" s="4">
        <f t="shared" ca="1" si="26"/>
        <v>359.55892100797314</v>
      </c>
    </row>
    <row r="191" spans="1:13" x14ac:dyDescent="0.2">
      <c r="A191">
        <v>190</v>
      </c>
      <c r="B191" s="1">
        <v>298.8</v>
      </c>
      <c r="C191" s="1">
        <v>13.36</v>
      </c>
      <c r="D191" s="1">
        <v>273.81</v>
      </c>
      <c r="E191">
        <f t="shared" si="18"/>
        <v>6.2106787967930984E-3</v>
      </c>
      <c r="F191">
        <f t="shared" si="19"/>
        <v>5.2532953833456277E-3</v>
      </c>
      <c r="G191">
        <f t="shared" si="20"/>
        <v>5.3097145821295851E-3</v>
      </c>
      <c r="H191">
        <f t="shared" ca="1" si="21"/>
        <v>5.0428395662614305E-3</v>
      </c>
      <c r="I191" s="4">
        <f t="shared" ca="1" si="22"/>
        <v>387.10083802446553</v>
      </c>
      <c r="J191">
        <f t="shared" ca="1" si="23"/>
        <v>6.9743120219136609E-3</v>
      </c>
      <c r="K191" s="4">
        <f t="shared" ca="1" si="24"/>
        <v>9.967695742082574</v>
      </c>
      <c r="L191">
        <f t="shared" ca="1" si="25"/>
        <v>-2.2648454281810238E-3</v>
      </c>
      <c r="M191" s="4">
        <f t="shared" ca="1" si="26"/>
        <v>358.74549711696335</v>
      </c>
    </row>
    <row r="192" spans="1:13" x14ac:dyDescent="0.2">
      <c r="A192">
        <v>191</v>
      </c>
      <c r="B192" s="1">
        <v>302.83999999999997</v>
      </c>
      <c r="C192" s="1">
        <v>13.31</v>
      </c>
      <c r="D192" s="1">
        <v>273.39999999999998</v>
      </c>
      <c r="E192">
        <f t="shared" si="18"/>
        <v>1.3430159976443453E-2</v>
      </c>
      <c r="F192">
        <f t="shared" si="19"/>
        <v>-3.7495357014793633E-3</v>
      </c>
      <c r="G192">
        <f t="shared" si="20"/>
        <v>-1.4985109070465431E-3</v>
      </c>
      <c r="H192">
        <f t="shared" ca="1" si="21"/>
        <v>6.5845255772797344E-3</v>
      </c>
      <c r="I192" s="4">
        <f t="shared" ca="1" si="22"/>
        <v>389.6581234094765</v>
      </c>
      <c r="J192">
        <f t="shared" ca="1" si="23"/>
        <v>1.3181177139902127E-2</v>
      </c>
      <c r="K192" s="4">
        <f t="shared" ca="1" si="24"/>
        <v>10.099951433308265</v>
      </c>
      <c r="L192">
        <f t="shared" ca="1" si="25"/>
        <v>-1.8802960669833946E-2</v>
      </c>
      <c r="M192" s="4">
        <f t="shared" ca="1" si="26"/>
        <v>352.06304150068752</v>
      </c>
    </row>
    <row r="193" spans="1:13" x14ac:dyDescent="0.2">
      <c r="A193">
        <v>192</v>
      </c>
      <c r="B193" s="1">
        <v>300.92</v>
      </c>
      <c r="C193" s="1">
        <v>13.28</v>
      </c>
      <c r="D193" s="1">
        <v>273.76</v>
      </c>
      <c r="E193">
        <f t="shared" si="18"/>
        <v>-6.3601645430848997E-3</v>
      </c>
      <c r="F193">
        <f t="shared" si="19"/>
        <v>-2.2564883587325038E-3</v>
      </c>
      <c r="G193">
        <f t="shared" si="20"/>
        <v>1.3158858540342575E-3</v>
      </c>
      <c r="H193">
        <f t="shared" ca="1" si="21"/>
        <v>-2.9014141345698329E-3</v>
      </c>
      <c r="I193" s="4">
        <f t="shared" ca="1" si="22"/>
        <v>388.52920234828537</v>
      </c>
      <c r="J193">
        <f t="shared" ca="1" si="23"/>
        <v>3.6195120481592492E-3</v>
      </c>
      <c r="K193" s="4">
        <f t="shared" ca="1" si="24"/>
        <v>10.136574568162978</v>
      </c>
      <c r="L193">
        <f t="shared" ca="1" si="25"/>
        <v>-2.2183646673383236E-2</v>
      </c>
      <c r="M193" s="4">
        <f t="shared" ca="1" si="26"/>
        <v>344.33898995349421</v>
      </c>
    </row>
    <row r="194" spans="1:13" x14ac:dyDescent="0.2">
      <c r="A194">
        <v>193</v>
      </c>
      <c r="B194" s="1">
        <v>299.58</v>
      </c>
      <c r="C194" s="1">
        <v>13.23</v>
      </c>
      <c r="D194" s="1">
        <v>273.08</v>
      </c>
      <c r="E194">
        <f t="shared" si="18"/>
        <v>-4.4629549514479897E-3</v>
      </c>
      <c r="F194">
        <f t="shared" si="19"/>
        <v>-3.7721659214234125E-3</v>
      </c>
      <c r="G194">
        <f t="shared" si="20"/>
        <v>-2.4870175938038587E-3</v>
      </c>
      <c r="H194">
        <f t="shared" ca="1" si="21"/>
        <v>1.3150774364607319E-2</v>
      </c>
      <c r="I194" s="4">
        <f t="shared" ca="1" si="22"/>
        <v>393.67240665896799</v>
      </c>
      <c r="J194">
        <f t="shared" ca="1" si="23"/>
        <v>3.8674264587591116E-3</v>
      </c>
      <c r="K194" s="4">
        <f t="shared" ca="1" si="24"/>
        <v>10.175852928977861</v>
      </c>
      <c r="L194">
        <f t="shared" ca="1" si="25"/>
        <v>4.0560141863673023E-2</v>
      </c>
      <c r="M194" s="4">
        <f t="shared" ca="1" si="26"/>
        <v>358.59253716488905</v>
      </c>
    </row>
    <row r="195" spans="1:13" x14ac:dyDescent="0.2">
      <c r="A195">
        <v>194</v>
      </c>
      <c r="B195" s="1">
        <v>303.89</v>
      </c>
      <c r="C195" s="1">
        <v>13.12</v>
      </c>
      <c r="D195" s="1">
        <v>271.86</v>
      </c>
      <c r="E195">
        <f t="shared" si="18"/>
        <v>1.4284300079734713E-2</v>
      </c>
      <c r="F195">
        <f t="shared" si="19"/>
        <v>-8.3491946109214045E-3</v>
      </c>
      <c r="G195">
        <f t="shared" si="20"/>
        <v>-4.4775646429776467E-3</v>
      </c>
      <c r="H195">
        <f t="shared" ca="1" si="21"/>
        <v>-2.5781201884101216E-2</v>
      </c>
      <c r="I195" s="4">
        <f t="shared" ca="1" si="22"/>
        <v>383.65277293987504</v>
      </c>
      <c r="J195">
        <f t="shared" ca="1" si="23"/>
        <v>-7.9251662886952595E-3</v>
      </c>
      <c r="K195" s="4">
        <f t="shared" ca="1" si="24"/>
        <v>10.0955263236694</v>
      </c>
      <c r="L195">
        <f t="shared" ca="1" si="25"/>
        <v>-5.3802052433372508E-2</v>
      </c>
      <c r="M195" s="4">
        <f t="shared" ca="1" si="26"/>
        <v>339.80934063707554</v>
      </c>
    </row>
    <row r="196" spans="1:13" x14ac:dyDescent="0.2">
      <c r="A196">
        <v>195</v>
      </c>
      <c r="B196" s="1">
        <v>319.61</v>
      </c>
      <c r="C196" s="1">
        <v>13.34</v>
      </c>
      <c r="D196" s="1">
        <v>271.01</v>
      </c>
      <c r="E196">
        <f t="shared" ref="E196:E251" si="27">LN(B196/B195)</f>
        <v>5.0435708693707185E-2</v>
      </c>
      <c r="F196">
        <f t="shared" ref="F196:F252" si="28">LN(C196/C195)</f>
        <v>1.6629256971534747E-2</v>
      </c>
      <c r="G196">
        <f t="shared" ref="G196:G252" si="29">LN(D196/D195)</f>
        <v>-3.1315073391992238E-3</v>
      </c>
      <c r="H196">
        <f t="shared" ref="H196:H252" ca="1" si="30">_xlfn.NORM.INV(RAND(),$E$254,$E$255)</f>
        <v>9.4269139125594207E-3</v>
      </c>
      <c r="I196" s="4">
        <f t="shared" ref="I196:I252" ca="1" si="31">I195*EXP(H196)</f>
        <v>387.28653527504923</v>
      </c>
      <c r="J196">
        <f t="shared" ref="J196:J252" ca="1" si="32">_xlfn.NORM.INV(RAND(),$F$254,$F$255)</f>
        <v>6.2090241557494026E-3</v>
      </c>
      <c r="K196" s="4">
        <f t="shared" ref="K196:K252" ca="1" si="33">K195*EXP(J196)</f>
        <v>10.158404695134701</v>
      </c>
      <c r="L196">
        <f t="shared" ref="L196:L252" ca="1" si="34">_xlfn.NORM.INV(RAND(),$G$254,$G$255)</f>
        <v>3.9097122039648431E-4</v>
      </c>
      <c r="M196" s="4">
        <f t="shared" ref="M196:M252" ca="1" si="35">M195*EXP(L196)</f>
        <v>339.9422222844438</v>
      </c>
    </row>
    <row r="197" spans="1:13" x14ac:dyDescent="0.2">
      <c r="A197">
        <v>196</v>
      </c>
      <c r="B197" s="1">
        <v>322.25</v>
      </c>
      <c r="C197" s="1">
        <v>13.47</v>
      </c>
      <c r="D197" s="1">
        <v>267.26</v>
      </c>
      <c r="E197">
        <f t="shared" si="27"/>
        <v>8.226139305281913E-3</v>
      </c>
      <c r="F197">
        <f t="shared" si="28"/>
        <v>9.6979499347949628E-3</v>
      </c>
      <c r="G197">
        <f t="shared" si="29"/>
        <v>-1.3933753214987847E-2</v>
      </c>
      <c r="H197">
        <f t="shared" ca="1" si="30"/>
        <v>-8.7856718220119222E-3</v>
      </c>
      <c r="I197" s="4">
        <f t="shared" ca="1" si="31"/>
        <v>383.89886614026585</v>
      </c>
      <c r="J197">
        <f t="shared" ca="1" si="32"/>
        <v>7.1149977051570426E-3</v>
      </c>
      <c r="K197" s="4">
        <f t="shared" ca="1" si="33"/>
        <v>10.230939457567926</v>
      </c>
      <c r="L197">
        <f t="shared" ca="1" si="34"/>
        <v>-3.2772607337076777E-4</v>
      </c>
      <c r="M197" s="4">
        <f t="shared" ca="1" si="35"/>
        <v>339.83083260840914</v>
      </c>
    </row>
    <row r="198" spans="1:13" x14ac:dyDescent="0.2">
      <c r="A198">
        <v>197</v>
      </c>
      <c r="B198" s="1">
        <v>327.43</v>
      </c>
      <c r="C198" s="1">
        <v>13.8</v>
      </c>
      <c r="D198" s="1">
        <v>262.36</v>
      </c>
      <c r="E198">
        <f t="shared" si="27"/>
        <v>1.594664995224751E-2</v>
      </c>
      <c r="F198">
        <f t="shared" si="28"/>
        <v>2.4203601740886399E-2</v>
      </c>
      <c r="G198">
        <f t="shared" si="29"/>
        <v>-1.8504360927380031E-2</v>
      </c>
      <c r="H198">
        <f t="shared" ca="1" si="30"/>
        <v>-7.348038971210627E-3</v>
      </c>
      <c r="I198" s="4">
        <f t="shared" ca="1" si="31"/>
        <v>381.08830102790262</v>
      </c>
      <c r="J198">
        <f t="shared" ca="1" si="32"/>
        <v>-1.4026937428519275E-2</v>
      </c>
      <c r="K198" s="4">
        <f t="shared" ca="1" si="33"/>
        <v>10.088432514519774</v>
      </c>
      <c r="L198">
        <f t="shared" ca="1" si="34"/>
        <v>-6.9419881199656976E-3</v>
      </c>
      <c r="M198" s="4">
        <f t="shared" ca="1" si="35"/>
        <v>337.47990051814304</v>
      </c>
    </row>
    <row r="199" spans="1:13" x14ac:dyDescent="0.2">
      <c r="A199">
        <v>198</v>
      </c>
      <c r="B199" s="1">
        <v>318.68</v>
      </c>
      <c r="C199" s="1">
        <v>13.74</v>
      </c>
      <c r="D199" s="1">
        <v>260.33</v>
      </c>
      <c r="E199">
        <f t="shared" si="27"/>
        <v>-2.7086827259378912E-2</v>
      </c>
      <c r="F199">
        <f t="shared" si="28"/>
        <v>-4.3573053689558126E-3</v>
      </c>
      <c r="G199">
        <f t="shared" si="29"/>
        <v>-7.7675494332428621E-3</v>
      </c>
      <c r="H199">
        <f t="shared" ca="1" si="30"/>
        <v>1.7121178366044477E-2</v>
      </c>
      <c r="I199" s="4">
        <f t="shared" ca="1" si="31"/>
        <v>387.6691570522317</v>
      </c>
      <c r="J199">
        <f t="shared" ca="1" si="32"/>
        <v>2.126233371939831E-2</v>
      </c>
      <c r="K199" s="4">
        <f t="shared" ca="1" si="33"/>
        <v>10.305232805769037</v>
      </c>
      <c r="L199">
        <f t="shared" ca="1" si="34"/>
        <v>-2.3665101546265038E-2</v>
      </c>
      <c r="M199" s="4">
        <f t="shared" ca="1" si="35"/>
        <v>329.58716395727765</v>
      </c>
    </row>
    <row r="200" spans="1:13" x14ac:dyDescent="0.2">
      <c r="A200">
        <v>199</v>
      </c>
      <c r="B200" s="1">
        <v>318.01</v>
      </c>
      <c r="C200" s="1">
        <v>14.4</v>
      </c>
      <c r="D200" s="1">
        <v>259.04000000000002</v>
      </c>
      <c r="E200">
        <f t="shared" si="27"/>
        <v>-2.1046356855401369E-3</v>
      </c>
      <c r="F200">
        <f t="shared" si="28"/>
        <v>4.6916919787751657E-2</v>
      </c>
      <c r="G200">
        <f t="shared" si="29"/>
        <v>-4.9675670629667958E-3</v>
      </c>
      <c r="H200">
        <f t="shared" ca="1" si="30"/>
        <v>9.4259239238533958E-3</v>
      </c>
      <c r="I200" s="4">
        <f t="shared" ca="1" si="31"/>
        <v>391.34057309525065</v>
      </c>
      <c r="J200">
        <f t="shared" ca="1" si="32"/>
        <v>-2.017621245452287E-2</v>
      </c>
      <c r="K200" s="4">
        <f t="shared" ca="1" si="33"/>
        <v>10.099395728215079</v>
      </c>
      <c r="L200">
        <f t="shared" ca="1" si="34"/>
        <v>2.2161322755580793E-2</v>
      </c>
      <c r="M200" s="4">
        <f t="shared" ca="1" si="35"/>
        <v>336.97278679045922</v>
      </c>
    </row>
    <row r="201" spans="1:13" x14ac:dyDescent="0.2">
      <c r="A201">
        <v>200</v>
      </c>
      <c r="B201" s="1">
        <v>323.63</v>
      </c>
      <c r="C201" s="1">
        <v>14.2</v>
      </c>
      <c r="D201" s="1">
        <v>259.37</v>
      </c>
      <c r="E201">
        <f t="shared" si="27"/>
        <v>1.7518059106414383E-2</v>
      </c>
      <c r="F201">
        <f t="shared" si="28"/>
        <v>-1.3986241974739952E-2</v>
      </c>
      <c r="G201">
        <f t="shared" si="29"/>
        <v>1.2731237613982068E-3</v>
      </c>
      <c r="H201">
        <f t="shared" ca="1" si="30"/>
        <v>2.4788919617931657E-2</v>
      </c>
      <c r="I201" s="4">
        <f t="shared" ca="1" si="31"/>
        <v>401.16272035145573</v>
      </c>
      <c r="J201">
        <f t="shared" ca="1" si="32"/>
        <v>1.9155169117132307E-2</v>
      </c>
      <c r="K201" s="4">
        <f t="shared" ca="1" si="33"/>
        <v>10.294716086399236</v>
      </c>
      <c r="L201">
        <f t="shared" ca="1" si="34"/>
        <v>7.9550486836898471E-3</v>
      </c>
      <c r="M201" s="4">
        <f t="shared" ca="1" si="35"/>
        <v>339.66411233444944</v>
      </c>
    </row>
    <row r="202" spans="1:13" x14ac:dyDescent="0.2">
      <c r="A202">
        <v>201</v>
      </c>
      <c r="B202" s="1">
        <v>331.77</v>
      </c>
      <c r="C202" s="1">
        <v>14.03</v>
      </c>
      <c r="D202" s="1">
        <v>260.25</v>
      </c>
      <c r="E202">
        <f t="shared" si="27"/>
        <v>2.4841069822338864E-2</v>
      </c>
      <c r="F202">
        <f t="shared" si="28"/>
        <v>-1.2044070492845459E-2</v>
      </c>
      <c r="G202">
        <f t="shared" si="29"/>
        <v>3.3870938043550165E-3</v>
      </c>
      <c r="H202">
        <f t="shared" ca="1" si="30"/>
        <v>1.4196749653036614E-2</v>
      </c>
      <c r="I202" s="4">
        <f t="shared" ca="1" si="31"/>
        <v>406.89854576459339</v>
      </c>
      <c r="J202">
        <f t="shared" ca="1" si="32"/>
        <v>-1.0735586591086491E-2</v>
      </c>
      <c r="K202" s="4">
        <f t="shared" ca="1" si="33"/>
        <v>10.184787400682444</v>
      </c>
      <c r="L202">
        <f t="shared" ca="1" si="34"/>
        <v>2.3319071517401761E-2</v>
      </c>
      <c r="M202" s="4">
        <f t="shared" ca="1" si="35"/>
        <v>347.67783723587036</v>
      </c>
    </row>
    <row r="203" spans="1:13" x14ac:dyDescent="0.2">
      <c r="A203">
        <v>202</v>
      </c>
      <c r="B203" s="1">
        <v>331.21</v>
      </c>
      <c r="C203" s="1">
        <v>13.98</v>
      </c>
      <c r="D203" s="1">
        <v>261.05</v>
      </c>
      <c r="E203">
        <f t="shared" si="27"/>
        <v>-1.6893424633653389E-3</v>
      </c>
      <c r="F203">
        <f t="shared" si="28"/>
        <v>-3.5701573087053144E-3</v>
      </c>
      <c r="G203">
        <f t="shared" si="29"/>
        <v>3.069252361483235E-3</v>
      </c>
      <c r="H203">
        <f t="shared" ca="1" si="30"/>
        <v>-1.1683237201224349E-2</v>
      </c>
      <c r="I203" s="4">
        <f t="shared" ca="1" si="31"/>
        <v>402.17231612850981</v>
      </c>
      <c r="J203">
        <f t="shared" ca="1" si="32"/>
        <v>-1.5237212106882045E-2</v>
      </c>
      <c r="K203" s="4">
        <f t="shared" ca="1" si="33"/>
        <v>10.030775966994215</v>
      </c>
      <c r="L203">
        <f t="shared" ca="1" si="34"/>
        <v>1.182458737485465E-2</v>
      </c>
      <c r="M203" s="4">
        <f t="shared" ca="1" si="35"/>
        <v>351.81338659671763</v>
      </c>
    </row>
    <row r="204" spans="1:13" x14ac:dyDescent="0.2">
      <c r="A204">
        <v>203</v>
      </c>
      <c r="B204" s="1">
        <v>327.11</v>
      </c>
      <c r="C204" s="1">
        <v>13.84</v>
      </c>
      <c r="D204" s="1">
        <v>259.95999999999998</v>
      </c>
      <c r="E204">
        <f t="shared" si="27"/>
        <v>-1.2456109524364765E-2</v>
      </c>
      <c r="F204">
        <f t="shared" si="28"/>
        <v>-1.0064786616140709E-2</v>
      </c>
      <c r="G204">
        <f t="shared" si="29"/>
        <v>-4.1841868304133703E-3</v>
      </c>
      <c r="H204">
        <f t="shared" ca="1" si="30"/>
        <v>1.037824033284558E-2</v>
      </c>
      <c r="I204" s="4">
        <f t="shared" ca="1" si="31"/>
        <v>406.36789076348958</v>
      </c>
      <c r="J204">
        <f t="shared" ca="1" si="32"/>
        <v>-1.3479060627372905E-2</v>
      </c>
      <c r="K204" s="4">
        <f t="shared" ca="1" si="33"/>
        <v>9.8964776703635788</v>
      </c>
      <c r="L204">
        <f t="shared" ca="1" si="34"/>
        <v>-3.3619496643024896E-2</v>
      </c>
      <c r="M204" s="4">
        <f t="shared" ca="1" si="35"/>
        <v>340.18221028425847</v>
      </c>
    </row>
    <row r="205" spans="1:13" x14ac:dyDescent="0.2">
      <c r="A205">
        <v>204</v>
      </c>
      <c r="B205" s="1">
        <v>341.64</v>
      </c>
      <c r="C205" s="1">
        <v>13.81</v>
      </c>
      <c r="D205" s="1">
        <v>258.20999999999998</v>
      </c>
      <c r="E205">
        <f t="shared" si="27"/>
        <v>4.346104531029827E-2</v>
      </c>
      <c r="F205">
        <f t="shared" si="28"/>
        <v>-2.1699827683226932E-3</v>
      </c>
      <c r="G205">
        <f t="shared" si="29"/>
        <v>-6.7545656966553251E-3</v>
      </c>
      <c r="H205">
        <f t="shared" ca="1" si="30"/>
        <v>3.4768319969129886E-2</v>
      </c>
      <c r="I205" s="4">
        <f t="shared" ca="1" si="31"/>
        <v>420.74510716583279</v>
      </c>
      <c r="J205">
        <f t="shared" ca="1" si="32"/>
        <v>-2.9712207423353242E-2</v>
      </c>
      <c r="K205" s="4">
        <f t="shared" ca="1" si="33"/>
        <v>9.6067569085912439</v>
      </c>
      <c r="L205">
        <f t="shared" ca="1" si="34"/>
        <v>-2.2462138623947502E-5</v>
      </c>
      <c r="M205" s="4">
        <f t="shared" ca="1" si="35"/>
        <v>340.17456915011206</v>
      </c>
    </row>
    <row r="206" spans="1:13" x14ac:dyDescent="0.2">
      <c r="A206">
        <v>205</v>
      </c>
      <c r="B206" s="1">
        <v>342.4</v>
      </c>
      <c r="C206" s="1">
        <v>13.6</v>
      </c>
      <c r="D206" s="1">
        <v>255.53</v>
      </c>
      <c r="E206">
        <f t="shared" si="27"/>
        <v>2.2220931896405846E-3</v>
      </c>
      <c r="F206">
        <f t="shared" si="28"/>
        <v>-1.5323174679194442E-2</v>
      </c>
      <c r="G206">
        <f t="shared" si="29"/>
        <v>-1.0433387748804377E-2</v>
      </c>
      <c r="H206">
        <f t="shared" ca="1" si="30"/>
        <v>2.2613666405011012E-2</v>
      </c>
      <c r="I206" s="4">
        <f t="shared" ca="1" si="31"/>
        <v>430.36809206768794</v>
      </c>
      <c r="J206">
        <f t="shared" ca="1" si="32"/>
        <v>-3.4849548586534509E-2</v>
      </c>
      <c r="K206" s="4">
        <f t="shared" ca="1" si="33"/>
        <v>9.2777322465373651</v>
      </c>
      <c r="L206">
        <f t="shared" ca="1" si="34"/>
        <v>1.7875954344036264E-2</v>
      </c>
      <c r="M206" s="4">
        <f t="shared" ca="1" si="35"/>
        <v>346.31019087869549</v>
      </c>
    </row>
    <row r="207" spans="1:13" x14ac:dyDescent="0.2">
      <c r="A207">
        <v>206</v>
      </c>
      <c r="B207" s="1">
        <v>327.16000000000003</v>
      </c>
      <c r="C207" s="1">
        <v>13.28</v>
      </c>
      <c r="D207" s="1">
        <v>246.7</v>
      </c>
      <c r="E207">
        <f t="shared" si="27"/>
        <v>-4.5530296400813519E-2</v>
      </c>
      <c r="F207">
        <f t="shared" si="28"/>
        <v>-2.3810648693718559E-2</v>
      </c>
      <c r="G207">
        <f t="shared" si="29"/>
        <v>-3.5166796045377341E-2</v>
      </c>
      <c r="H207">
        <f t="shared" ca="1" si="30"/>
        <v>-1.4760409118910642E-2</v>
      </c>
      <c r="I207" s="4">
        <f t="shared" ca="1" si="31"/>
        <v>424.06233521818058</v>
      </c>
      <c r="J207">
        <f t="shared" ca="1" si="32"/>
        <v>-1.485108089988562E-2</v>
      </c>
      <c r="K207" s="4">
        <f t="shared" ca="1" si="33"/>
        <v>9.1409659715768612</v>
      </c>
      <c r="L207">
        <f t="shared" ca="1" si="34"/>
        <v>-1.1431476202986334E-3</v>
      </c>
      <c r="M207" s="4">
        <f t="shared" ca="1" si="35"/>
        <v>345.91453339864739</v>
      </c>
    </row>
    <row r="208" spans="1:13" x14ac:dyDescent="0.2">
      <c r="A208">
        <v>207</v>
      </c>
      <c r="B208" s="1">
        <v>326.12</v>
      </c>
      <c r="C208" s="1">
        <v>13.77</v>
      </c>
      <c r="D208" s="1">
        <v>247.65</v>
      </c>
      <c r="E208">
        <f t="shared" si="27"/>
        <v>-3.1839360720633488E-3</v>
      </c>
      <c r="F208">
        <f t="shared" si="28"/>
        <v>3.6233168692275809E-2</v>
      </c>
      <c r="G208">
        <f t="shared" si="29"/>
        <v>3.8434354989358229E-3</v>
      </c>
      <c r="H208">
        <f t="shared" ca="1" si="30"/>
        <v>-3.4083561619004291E-2</v>
      </c>
      <c r="I208" s="4">
        <f t="shared" ca="1" si="31"/>
        <v>409.85232005756905</v>
      </c>
      <c r="J208">
        <f t="shared" ca="1" si="32"/>
        <v>-2.448979370318446E-3</v>
      </c>
      <c r="K208" s="4">
        <f t="shared" ca="1" si="33"/>
        <v>9.1186073235961782</v>
      </c>
      <c r="L208">
        <f t="shared" ca="1" si="34"/>
        <v>1.089246316659836E-2</v>
      </c>
      <c r="M208" s="4">
        <f t="shared" ca="1" si="35"/>
        <v>349.70299006789651</v>
      </c>
    </row>
    <row r="209" spans="1:13" x14ac:dyDescent="0.2">
      <c r="A209">
        <v>208</v>
      </c>
      <c r="B209" s="1">
        <v>327.37</v>
      </c>
      <c r="C209" s="1">
        <v>13.71</v>
      </c>
      <c r="D209" s="1">
        <v>248.35</v>
      </c>
      <c r="E209">
        <f t="shared" si="27"/>
        <v>3.8256179115686564E-3</v>
      </c>
      <c r="F209">
        <f t="shared" si="28"/>
        <v>-4.3668191663404025E-3</v>
      </c>
      <c r="G209">
        <f t="shared" si="29"/>
        <v>2.8225825191126939E-3</v>
      </c>
      <c r="H209">
        <f t="shared" ca="1" si="30"/>
        <v>7.4488797615134949E-3</v>
      </c>
      <c r="I209" s="4">
        <f t="shared" ca="1" si="31"/>
        <v>412.91665948870758</v>
      </c>
      <c r="J209">
        <f t="shared" ca="1" si="32"/>
        <v>9.7940439417700149E-3</v>
      </c>
      <c r="K209" s="4">
        <f t="shared" ca="1" si="33"/>
        <v>9.2083541391390344</v>
      </c>
      <c r="L209">
        <f t="shared" ca="1" si="34"/>
        <v>2.182076367528404E-2</v>
      </c>
      <c r="M209" s="4">
        <f t="shared" ca="1" si="35"/>
        <v>357.41764004196301</v>
      </c>
    </row>
    <row r="210" spans="1:13" x14ac:dyDescent="0.2">
      <c r="A210">
        <v>209</v>
      </c>
      <c r="B210" s="1">
        <v>334.87</v>
      </c>
      <c r="C210" s="1">
        <v>13.56</v>
      </c>
      <c r="D210" s="1">
        <v>248.04</v>
      </c>
      <c r="E210">
        <f t="shared" si="27"/>
        <v>2.2651367102644211E-2</v>
      </c>
      <c r="F210">
        <f t="shared" si="28"/>
        <v>-1.1001211061973569E-2</v>
      </c>
      <c r="G210">
        <f t="shared" si="29"/>
        <v>-1.2490180716823703E-3</v>
      </c>
      <c r="H210">
        <f t="shared" ca="1" si="30"/>
        <v>-3.0077444387256382E-2</v>
      </c>
      <c r="I210" s="4">
        <f t="shared" ca="1" si="31"/>
        <v>400.68209614756262</v>
      </c>
      <c r="J210">
        <f t="shared" ca="1" si="32"/>
        <v>5.5299286328609601E-2</v>
      </c>
      <c r="K210" s="4">
        <f t="shared" ca="1" si="33"/>
        <v>9.7319123348171885</v>
      </c>
      <c r="L210">
        <f t="shared" ca="1" si="34"/>
        <v>3.3218909889187277E-2</v>
      </c>
      <c r="M210" s="4">
        <f t="shared" ca="1" si="35"/>
        <v>369.49007077755488</v>
      </c>
    </row>
    <row r="211" spans="1:13" x14ac:dyDescent="0.2">
      <c r="A211">
        <v>210</v>
      </c>
      <c r="B211" s="1">
        <v>332.71</v>
      </c>
      <c r="C211" s="1">
        <v>13.44</v>
      </c>
      <c r="D211" s="1">
        <v>255.41</v>
      </c>
      <c r="E211">
        <f t="shared" si="27"/>
        <v>-6.4711571276916307E-3</v>
      </c>
      <c r="F211">
        <f t="shared" si="28"/>
        <v>-8.888947417246152E-3</v>
      </c>
      <c r="G211">
        <f t="shared" si="29"/>
        <v>2.9280073618068572E-2</v>
      </c>
      <c r="H211">
        <f t="shared" ca="1" si="30"/>
        <v>2.0805232069031385E-2</v>
      </c>
      <c r="I211" s="4">
        <f t="shared" ca="1" si="31"/>
        <v>409.10570385062937</v>
      </c>
      <c r="J211">
        <f t="shared" ca="1" si="32"/>
        <v>2.3371313952779207E-2</v>
      </c>
      <c r="K211" s="4">
        <f t="shared" ca="1" si="33"/>
        <v>9.9620386152929292</v>
      </c>
      <c r="L211">
        <f t="shared" ca="1" si="34"/>
        <v>3.2283490328658009E-2</v>
      </c>
      <c r="M211" s="4">
        <f t="shared" ca="1" si="35"/>
        <v>381.61313441409004</v>
      </c>
    </row>
    <row r="212" spans="1:13" x14ac:dyDescent="0.2">
      <c r="A212">
        <v>211</v>
      </c>
      <c r="B212" s="1">
        <v>338.34</v>
      </c>
      <c r="C212" s="1">
        <v>13.93</v>
      </c>
      <c r="D212" s="1">
        <v>258.27</v>
      </c>
      <c r="E212">
        <f t="shared" si="27"/>
        <v>1.6780067365914378E-2</v>
      </c>
      <c r="F212">
        <f t="shared" si="28"/>
        <v>3.5809452696710778E-2</v>
      </c>
      <c r="G212">
        <f t="shared" si="29"/>
        <v>1.1135452238227017E-2</v>
      </c>
      <c r="H212">
        <f t="shared" ca="1" si="30"/>
        <v>3.221176435963063E-3</v>
      </c>
      <c r="I212" s="4">
        <f t="shared" ca="1" si="31"/>
        <v>410.42563022025695</v>
      </c>
      <c r="J212">
        <f t="shared" ca="1" si="32"/>
        <v>-1.5702421377061977E-2</v>
      </c>
      <c r="K212" s="4">
        <f t="shared" ca="1" si="33"/>
        <v>9.8068322342178167</v>
      </c>
      <c r="L212">
        <f t="shared" ca="1" si="34"/>
        <v>-1.9990153498248169E-3</v>
      </c>
      <c r="M212" s="4">
        <f t="shared" ca="1" si="35"/>
        <v>380.85104586783189</v>
      </c>
    </row>
    <row r="213" spans="1:13" x14ac:dyDescent="0.2">
      <c r="A213">
        <v>212</v>
      </c>
      <c r="B213" s="1">
        <v>342.3</v>
      </c>
      <c r="C213" s="1">
        <v>13.82</v>
      </c>
      <c r="D213" s="1">
        <v>256.44</v>
      </c>
      <c r="E213">
        <f t="shared" si="27"/>
        <v>1.1636238488994106E-2</v>
      </c>
      <c r="F213">
        <f t="shared" si="28"/>
        <v>-7.9279694521904327E-3</v>
      </c>
      <c r="G213">
        <f t="shared" si="29"/>
        <v>-7.1108302189163246E-3</v>
      </c>
      <c r="H213">
        <f t="shared" ca="1" si="30"/>
        <v>-2.2910653128798988E-2</v>
      </c>
      <c r="I213" s="4">
        <f t="shared" ca="1" si="31"/>
        <v>401.12940884985534</v>
      </c>
      <c r="J213">
        <f t="shared" ca="1" si="32"/>
        <v>-4.3918126926690785E-3</v>
      </c>
      <c r="K213" s="4">
        <f t="shared" ca="1" si="33"/>
        <v>9.7638569028153928</v>
      </c>
      <c r="L213">
        <f t="shared" ca="1" si="34"/>
        <v>2.7744512987209303E-2</v>
      </c>
      <c r="M213" s="4">
        <f t="shared" ca="1" si="35"/>
        <v>391.56551929249201</v>
      </c>
    </row>
    <row r="214" spans="1:13" x14ac:dyDescent="0.2">
      <c r="A214">
        <v>213</v>
      </c>
      <c r="B214" s="1">
        <v>339.55</v>
      </c>
      <c r="C214" s="1">
        <v>14</v>
      </c>
      <c r="D214" s="1">
        <v>258.27999999999997</v>
      </c>
      <c r="E214">
        <f t="shared" si="27"/>
        <v>-8.066333976339277E-3</v>
      </c>
      <c r="F214">
        <f t="shared" si="28"/>
        <v>1.2940511275734732E-2</v>
      </c>
      <c r="G214">
        <f t="shared" si="29"/>
        <v>7.1495486392095589E-3</v>
      </c>
      <c r="H214">
        <f t="shared" ca="1" si="30"/>
        <v>-3.3952043500308127E-3</v>
      </c>
      <c r="I214" s="4">
        <f t="shared" ca="1" si="31"/>
        <v>399.76980191375719</v>
      </c>
      <c r="J214">
        <f t="shared" ca="1" si="32"/>
        <v>-2.6565096021314996E-3</v>
      </c>
      <c r="K214" s="4">
        <f t="shared" ca="1" si="33"/>
        <v>9.7379535446924415</v>
      </c>
      <c r="L214">
        <f t="shared" ca="1" si="34"/>
        <v>1.5887937137658539E-3</v>
      </c>
      <c r="M214" s="4">
        <f t="shared" ca="1" si="35"/>
        <v>392.18813059756553</v>
      </c>
    </row>
    <row r="215" spans="1:13" x14ac:dyDescent="0.2">
      <c r="A215">
        <v>214</v>
      </c>
      <c r="B215" s="1">
        <v>330.56</v>
      </c>
      <c r="C215" s="1">
        <v>13.88</v>
      </c>
      <c r="D215" s="1">
        <v>259.48</v>
      </c>
      <c r="E215">
        <f t="shared" si="27"/>
        <v>-2.6833025628526696E-2</v>
      </c>
      <c r="F215">
        <f t="shared" si="28"/>
        <v>-8.6083745366001638E-3</v>
      </c>
      <c r="G215">
        <f t="shared" si="29"/>
        <v>4.6353605865885536E-3</v>
      </c>
      <c r="H215">
        <f t="shared" ca="1" si="30"/>
        <v>1.0099279681591347E-2</v>
      </c>
      <c r="I215" s="4">
        <f t="shared" ca="1" si="31"/>
        <v>403.8276451081307</v>
      </c>
      <c r="J215">
        <f t="shared" ca="1" si="32"/>
        <v>6.5971894246206067E-3</v>
      </c>
      <c r="K215" s="4">
        <f t="shared" ca="1" si="33"/>
        <v>9.8024090476420653</v>
      </c>
      <c r="L215">
        <f t="shared" ca="1" si="34"/>
        <v>-2.9573201074456164E-2</v>
      </c>
      <c r="M215" s="4">
        <f t="shared" ca="1" si="35"/>
        <v>380.75969280277508</v>
      </c>
    </row>
    <row r="216" spans="1:13" x14ac:dyDescent="0.2">
      <c r="A216">
        <v>215</v>
      </c>
      <c r="B216" s="1">
        <v>341.36</v>
      </c>
      <c r="C216" s="1">
        <v>13.81</v>
      </c>
      <c r="D216" s="1">
        <v>270.01</v>
      </c>
      <c r="E216">
        <f t="shared" si="27"/>
        <v>3.214945294847079E-2</v>
      </c>
      <c r="F216">
        <f t="shared" si="28"/>
        <v>-5.0559876574577259E-3</v>
      </c>
      <c r="G216">
        <f t="shared" si="29"/>
        <v>3.9779367004702977E-2</v>
      </c>
      <c r="H216">
        <f t="shared" ca="1" si="30"/>
        <v>2.00732113909931E-2</v>
      </c>
      <c r="I216" s="4">
        <f t="shared" ca="1" si="31"/>
        <v>412.01566781515982</v>
      </c>
      <c r="J216">
        <f t="shared" ca="1" si="32"/>
        <v>2.3894522954401243E-2</v>
      </c>
      <c r="K216" s="4">
        <f t="shared" ca="1" si="33"/>
        <v>10.039453691739897</v>
      </c>
      <c r="L216">
        <f t="shared" ca="1" si="34"/>
        <v>-5.5951937316535015E-4</v>
      </c>
      <c r="M216" s="4">
        <f t="shared" ca="1" si="35"/>
        <v>380.54670996769903</v>
      </c>
    </row>
    <row r="217" spans="1:13" x14ac:dyDescent="0.2">
      <c r="A217">
        <v>216</v>
      </c>
      <c r="B217" s="1">
        <v>335.75</v>
      </c>
      <c r="C217" s="1">
        <v>13.73</v>
      </c>
      <c r="D217" s="1">
        <v>269.48</v>
      </c>
      <c r="E217">
        <f t="shared" si="27"/>
        <v>-1.6570803476397555E-2</v>
      </c>
      <c r="F217">
        <f t="shared" si="28"/>
        <v>-5.8097476413211018E-3</v>
      </c>
      <c r="G217">
        <f t="shared" si="29"/>
        <v>-1.9648192570985205E-3</v>
      </c>
      <c r="H217">
        <f t="shared" ca="1" si="30"/>
        <v>3.1272660956018807E-2</v>
      </c>
      <c r="I217" s="4">
        <f t="shared" ca="1" si="31"/>
        <v>425.10408221039307</v>
      </c>
      <c r="J217">
        <f t="shared" ca="1" si="32"/>
        <v>6.5220683475444886E-3</v>
      </c>
      <c r="K217" s="4">
        <f t="shared" ca="1" si="33"/>
        <v>10.105145685863627</v>
      </c>
      <c r="L217">
        <f t="shared" ca="1" si="34"/>
        <v>9.3205110191244122E-3</v>
      </c>
      <c r="M217" s="4">
        <f t="shared" ca="1" si="35"/>
        <v>384.11018065806974</v>
      </c>
    </row>
    <row r="218" spans="1:13" x14ac:dyDescent="0.2">
      <c r="A218">
        <v>217</v>
      </c>
      <c r="B218" s="1">
        <v>325.74</v>
      </c>
      <c r="C218" s="1">
        <v>13.82</v>
      </c>
      <c r="D218" s="1">
        <v>276.49</v>
      </c>
      <c r="E218">
        <f t="shared" si="27"/>
        <v>-3.0267318257932201E-2</v>
      </c>
      <c r="F218">
        <f t="shared" si="28"/>
        <v>6.5335985596442284E-3</v>
      </c>
      <c r="G218">
        <f t="shared" si="29"/>
        <v>2.5680477850631312E-2</v>
      </c>
      <c r="H218">
        <f t="shared" ca="1" si="30"/>
        <v>-1.7428357754485667E-2</v>
      </c>
      <c r="I218" s="4">
        <f t="shared" ca="1" si="31"/>
        <v>417.75940492417254</v>
      </c>
      <c r="J218">
        <f t="shared" ca="1" si="32"/>
        <v>2.706150729607484E-2</v>
      </c>
      <c r="K218" s="4">
        <f t="shared" ca="1" si="33"/>
        <v>10.382339889905669</v>
      </c>
      <c r="L218">
        <f t="shared" ca="1" si="34"/>
        <v>-1.3848250149910181E-2</v>
      </c>
      <c r="M218" s="4">
        <f t="shared" ca="1" si="35"/>
        <v>378.82758854145442</v>
      </c>
    </row>
    <row r="219" spans="1:13" x14ac:dyDescent="0.2">
      <c r="A219">
        <v>218</v>
      </c>
      <c r="B219" s="1">
        <v>330.73</v>
      </c>
      <c r="C219" s="1">
        <v>13.72</v>
      </c>
      <c r="D219" s="1">
        <v>275.91000000000003</v>
      </c>
      <c r="E219">
        <f t="shared" si="27"/>
        <v>1.5202815389451792E-2</v>
      </c>
      <c r="F219">
        <f t="shared" si="28"/>
        <v>-7.2621960417846715E-3</v>
      </c>
      <c r="G219">
        <f t="shared" si="29"/>
        <v>-2.0999283603744651E-3</v>
      </c>
      <c r="H219">
        <f t="shared" ca="1" si="30"/>
        <v>-7.4089343089523384E-4</v>
      </c>
      <c r="I219" s="4">
        <f t="shared" ca="1" si="31"/>
        <v>417.45000435594687</v>
      </c>
      <c r="J219">
        <f t="shared" ca="1" si="32"/>
        <v>-2.5968821991328536E-2</v>
      </c>
      <c r="K219" s="4">
        <f t="shared" ca="1" si="33"/>
        <v>10.116193464830538</v>
      </c>
      <c r="L219">
        <f t="shared" ca="1" si="34"/>
        <v>1.1742900058984882E-2</v>
      </c>
      <c r="M219" s="4">
        <f t="shared" ca="1" si="35"/>
        <v>383.30234494119014</v>
      </c>
    </row>
    <row r="220" spans="1:13" x14ac:dyDescent="0.2">
      <c r="A220">
        <v>219</v>
      </c>
      <c r="B220" s="1">
        <v>348.85</v>
      </c>
      <c r="C220" s="1">
        <v>13.8</v>
      </c>
      <c r="D220" s="1">
        <v>278.12</v>
      </c>
      <c r="E220">
        <f t="shared" si="27"/>
        <v>5.3339697850379238E-2</v>
      </c>
      <c r="F220">
        <f t="shared" si="28"/>
        <v>5.8139698654198161E-3</v>
      </c>
      <c r="G220">
        <f t="shared" si="29"/>
        <v>7.9779496481011784E-3</v>
      </c>
      <c r="H220">
        <f t="shared" ca="1" si="30"/>
        <v>-3.7342030961185486E-3</v>
      </c>
      <c r="I220" s="4">
        <f t="shared" ca="1" si="31"/>
        <v>415.89406815612637</v>
      </c>
      <c r="J220">
        <f t="shared" ca="1" si="32"/>
        <v>3.2862553837195899E-2</v>
      </c>
      <c r="K220" s="4">
        <f t="shared" ca="1" si="33"/>
        <v>10.454160227684703</v>
      </c>
      <c r="L220">
        <f t="shared" ca="1" si="34"/>
        <v>1.7326477083235311E-2</v>
      </c>
      <c r="M220" s="4">
        <f t="shared" ca="1" si="35"/>
        <v>390.00149296076808</v>
      </c>
    </row>
    <row r="221" spans="1:13" x14ac:dyDescent="0.2">
      <c r="A221">
        <v>220</v>
      </c>
      <c r="B221" s="1">
        <v>355.41</v>
      </c>
      <c r="C221" s="1">
        <v>13.59</v>
      </c>
      <c r="D221" s="1">
        <v>274.62</v>
      </c>
      <c r="E221">
        <f t="shared" si="27"/>
        <v>1.863002224953186E-2</v>
      </c>
      <c r="F221">
        <f t="shared" si="28"/>
        <v>-1.5334364000106687E-2</v>
      </c>
      <c r="G221">
        <f t="shared" si="29"/>
        <v>-1.2664351337211381E-2</v>
      </c>
      <c r="H221">
        <f t="shared" ca="1" si="30"/>
        <v>-3.2931244188523195E-2</v>
      </c>
      <c r="I221" s="4">
        <f t="shared" ca="1" si="31"/>
        <v>402.42121549145429</v>
      </c>
      <c r="J221">
        <f t="shared" ca="1" si="32"/>
        <v>-3.90976671945988E-3</v>
      </c>
      <c r="K221" s="4">
        <f t="shared" ca="1" si="33"/>
        <v>10.413366698503063</v>
      </c>
      <c r="L221">
        <f t="shared" ca="1" si="34"/>
        <v>5.3510746459805511E-3</v>
      </c>
      <c r="M221" s="4">
        <f t="shared" ca="1" si="35"/>
        <v>392.09401368584327</v>
      </c>
    </row>
    <row r="222" spans="1:13" x14ac:dyDescent="0.2">
      <c r="A222">
        <v>221</v>
      </c>
      <c r="B222" s="1">
        <v>361.91</v>
      </c>
      <c r="C222" s="1">
        <v>13.57</v>
      </c>
      <c r="D222" s="1">
        <v>273.68</v>
      </c>
      <c r="E222">
        <f t="shared" si="27"/>
        <v>1.8123509495689725E-2</v>
      </c>
      <c r="F222">
        <f t="shared" si="28"/>
        <v>-1.4727543162745406E-3</v>
      </c>
      <c r="G222">
        <f t="shared" si="29"/>
        <v>-3.4287832242565278E-3</v>
      </c>
      <c r="H222">
        <f t="shared" ca="1" si="30"/>
        <v>-1.0648743058606577E-2</v>
      </c>
      <c r="I222" s="4">
        <f t="shared" ca="1" si="31"/>
        <v>398.15867101625179</v>
      </c>
      <c r="J222">
        <f t="shared" ca="1" si="32"/>
        <v>4.3066833236985787E-3</v>
      </c>
      <c r="K222" s="4">
        <f t="shared" ca="1" si="33"/>
        <v>10.458310481060195</v>
      </c>
      <c r="L222">
        <f t="shared" ca="1" si="34"/>
        <v>4.6855141980294808E-3</v>
      </c>
      <c r="M222" s="4">
        <f t="shared" ca="1" si="35"/>
        <v>393.93548650847856</v>
      </c>
    </row>
    <row r="223" spans="1:13" x14ac:dyDescent="0.2">
      <c r="A223">
        <v>222</v>
      </c>
      <c r="B223" s="1">
        <v>374.09</v>
      </c>
      <c r="C223" s="1">
        <v>13.85</v>
      </c>
      <c r="D223" s="1">
        <v>275.5</v>
      </c>
      <c r="E223">
        <f t="shared" si="27"/>
        <v>3.3100848045722067E-2</v>
      </c>
      <c r="F223">
        <f t="shared" si="28"/>
        <v>2.0423758786569747E-2</v>
      </c>
      <c r="G223">
        <f t="shared" si="29"/>
        <v>6.6280879236198581E-3</v>
      </c>
      <c r="H223">
        <f t="shared" ca="1" si="30"/>
        <v>2.5252879604766704E-2</v>
      </c>
      <c r="I223" s="4">
        <f t="shared" ca="1" si="31"/>
        <v>408.34135390583498</v>
      </c>
      <c r="J223">
        <f t="shared" ca="1" si="32"/>
        <v>-1.5661049966679062E-3</v>
      </c>
      <c r="K223" s="4">
        <f t="shared" ca="1" si="33"/>
        <v>10.44194448753627</v>
      </c>
      <c r="L223">
        <f t="shared" ca="1" si="34"/>
        <v>7.6582103028952717E-3</v>
      </c>
      <c r="M223" s="4">
        <f t="shared" ca="1" si="35"/>
        <v>396.96390865583834</v>
      </c>
    </row>
    <row r="224" spans="1:13" x14ac:dyDescent="0.2">
      <c r="A224">
        <v>223</v>
      </c>
      <c r="B224" s="1">
        <v>368.1</v>
      </c>
      <c r="C224" s="1">
        <v>14</v>
      </c>
      <c r="D224" s="1">
        <v>261.73</v>
      </c>
      <c r="E224">
        <f t="shared" si="27"/>
        <v>-1.6141769791213949E-2</v>
      </c>
      <c r="F224">
        <f t="shared" si="28"/>
        <v>1.077209698191104E-2</v>
      </c>
      <c r="G224">
        <f t="shared" si="29"/>
        <v>-5.1274190548633441E-2</v>
      </c>
      <c r="H224">
        <f t="shared" ca="1" si="30"/>
        <v>2.3331590794604284E-2</v>
      </c>
      <c r="I224" s="4">
        <f t="shared" ca="1" si="31"/>
        <v>417.98061971461181</v>
      </c>
      <c r="J224">
        <f t="shared" ca="1" si="32"/>
        <v>3.249303970848768E-2</v>
      </c>
      <c r="K224" s="4">
        <f t="shared" ca="1" si="33"/>
        <v>10.786807486366957</v>
      </c>
      <c r="L224">
        <f t="shared" ca="1" si="34"/>
        <v>-6.2043147887761788E-3</v>
      </c>
      <c r="M224" s="4">
        <f t="shared" ca="1" si="35"/>
        <v>394.50864409982876</v>
      </c>
    </row>
    <row r="225" spans="1:13" x14ac:dyDescent="0.2">
      <c r="A225">
        <v>224</v>
      </c>
      <c r="B225" s="1">
        <v>366.36</v>
      </c>
      <c r="C225" s="1">
        <v>14.12</v>
      </c>
      <c r="D225" s="1">
        <v>255.78</v>
      </c>
      <c r="E225">
        <f t="shared" si="27"/>
        <v>-4.7381838501886903E-3</v>
      </c>
      <c r="F225">
        <f t="shared" si="28"/>
        <v>8.5349024498372859E-3</v>
      </c>
      <c r="G225">
        <f t="shared" si="29"/>
        <v>-2.2995738039161814E-2</v>
      </c>
      <c r="H225">
        <f t="shared" ca="1" si="30"/>
        <v>1.4858555298486051E-2</v>
      </c>
      <c r="I225" s="4">
        <f t="shared" ca="1" si="31"/>
        <v>424.23757742699019</v>
      </c>
      <c r="J225">
        <f t="shared" ca="1" si="32"/>
        <v>1.0930978781718999E-2</v>
      </c>
      <c r="K225" s="4">
        <f t="shared" ca="1" si="33"/>
        <v>10.905364642508074</v>
      </c>
      <c r="L225">
        <f t="shared" ca="1" si="34"/>
        <v>5.9461413268103776E-3</v>
      </c>
      <c r="M225" s="4">
        <f t="shared" ca="1" si="35"/>
        <v>396.86143633765096</v>
      </c>
    </row>
    <row r="226" spans="1:13" x14ac:dyDescent="0.2">
      <c r="A226">
        <v>225</v>
      </c>
      <c r="B226" s="1">
        <v>364.2</v>
      </c>
      <c r="C226" s="1">
        <v>14.13</v>
      </c>
      <c r="D226" s="1">
        <v>263.88</v>
      </c>
      <c r="E226">
        <f t="shared" si="27"/>
        <v>-5.913289241279247E-3</v>
      </c>
      <c r="F226">
        <f t="shared" si="28"/>
        <v>7.0796463134009419E-4</v>
      </c>
      <c r="G226">
        <f t="shared" si="29"/>
        <v>3.1176754349496051E-2</v>
      </c>
      <c r="H226">
        <f t="shared" ca="1" si="30"/>
        <v>-1.0942041338612789E-3</v>
      </c>
      <c r="I226" s="4">
        <f t="shared" ca="1" si="31"/>
        <v>423.77362878957859</v>
      </c>
      <c r="J226">
        <f t="shared" ca="1" si="32"/>
        <v>-1.8708185909655107E-2</v>
      </c>
      <c r="K226" s="4">
        <f t="shared" ca="1" si="33"/>
        <v>10.703241626004727</v>
      </c>
      <c r="L226">
        <f t="shared" ca="1" si="34"/>
        <v>1.3164358549935834E-2</v>
      </c>
      <c r="M226" s="4">
        <f t="shared" ca="1" si="35"/>
        <v>402.1204020874502</v>
      </c>
    </row>
    <row r="227" spans="1:13" x14ac:dyDescent="0.2">
      <c r="A227">
        <v>226</v>
      </c>
      <c r="B227" s="1">
        <v>362.26</v>
      </c>
      <c r="C227" s="1">
        <v>13.85</v>
      </c>
      <c r="D227" s="1">
        <v>264.35000000000002</v>
      </c>
      <c r="E227">
        <f t="shared" si="27"/>
        <v>-5.3409812287370613E-3</v>
      </c>
      <c r="F227">
        <f t="shared" si="28"/>
        <v>-2.0014964063088638E-2</v>
      </c>
      <c r="G227">
        <f t="shared" si="29"/>
        <v>1.7795283267892476E-3</v>
      </c>
      <c r="H227">
        <f t="shared" ca="1" si="30"/>
        <v>-3.1704538645924009E-3</v>
      </c>
      <c r="I227" s="4">
        <f t="shared" ca="1" si="31"/>
        <v>422.43220164055839</v>
      </c>
      <c r="J227">
        <f t="shared" ca="1" si="32"/>
        <v>1.7198442935594999E-2</v>
      </c>
      <c r="K227" s="4">
        <f t="shared" ca="1" si="33"/>
        <v>10.888912767036116</v>
      </c>
      <c r="L227">
        <f t="shared" ca="1" si="34"/>
        <v>1.9111000232982221E-3</v>
      </c>
      <c r="M227" s="4">
        <f t="shared" ca="1" si="35"/>
        <v>402.88962919810189</v>
      </c>
    </row>
    <row r="228" spans="1:13" x14ac:dyDescent="0.2">
      <c r="A228">
        <v>227</v>
      </c>
      <c r="B228" s="1">
        <v>360.39</v>
      </c>
      <c r="C228" s="1">
        <v>13.78</v>
      </c>
      <c r="D228" s="1">
        <v>260.58</v>
      </c>
      <c r="E228">
        <f t="shared" si="27"/>
        <v>-5.1754076633771301E-3</v>
      </c>
      <c r="F228">
        <f t="shared" si="28"/>
        <v>-5.066967047835067E-3</v>
      </c>
      <c r="G228">
        <f t="shared" si="29"/>
        <v>-1.4364066906673809E-2</v>
      </c>
      <c r="H228">
        <f t="shared" ca="1" si="30"/>
        <v>-1.9940139675867372E-2</v>
      </c>
      <c r="I228" s="4">
        <f t="shared" ca="1" si="31"/>
        <v>414.09227056577896</v>
      </c>
      <c r="J228">
        <f t="shared" ca="1" si="32"/>
        <v>-6.6669950876268218E-3</v>
      </c>
      <c r="K228" s="4">
        <f t="shared" ca="1" si="33"/>
        <v>10.816557901881154</v>
      </c>
      <c r="L228">
        <f t="shared" ca="1" si="34"/>
        <v>-5.6664191791529258E-3</v>
      </c>
      <c r="M228" s="4">
        <f t="shared" ca="1" si="35"/>
        <v>400.61314352833375</v>
      </c>
    </row>
    <row r="229" spans="1:13" x14ac:dyDescent="0.2">
      <c r="A229">
        <v>228</v>
      </c>
      <c r="B229" s="1">
        <v>370.54</v>
      </c>
      <c r="C229" s="1">
        <v>14.01</v>
      </c>
      <c r="D229" s="1">
        <v>264.58</v>
      </c>
      <c r="E229">
        <f t="shared" si="27"/>
        <v>2.7774622720473218E-2</v>
      </c>
      <c r="F229">
        <f t="shared" si="28"/>
        <v>1.655309476340306E-2</v>
      </c>
      <c r="G229">
        <f t="shared" si="29"/>
        <v>1.5233747259448463E-2</v>
      </c>
      <c r="H229">
        <f t="shared" ca="1" si="30"/>
        <v>3.5206309808138686E-2</v>
      </c>
      <c r="I229" s="4">
        <f t="shared" ca="1" si="31"/>
        <v>428.93060012150579</v>
      </c>
      <c r="J229">
        <f t="shared" ca="1" si="32"/>
        <v>-1.7453668854707356E-2</v>
      </c>
      <c r="K229" s="4">
        <f t="shared" ca="1" si="33"/>
        <v>10.629407265688396</v>
      </c>
      <c r="L229">
        <f t="shared" ca="1" si="34"/>
        <v>-9.5770388295169841E-3</v>
      </c>
      <c r="M229" s="4">
        <f t="shared" ca="1" si="35"/>
        <v>396.79476944055733</v>
      </c>
    </row>
    <row r="230" spans="1:13" x14ac:dyDescent="0.2">
      <c r="A230">
        <v>229</v>
      </c>
      <c r="B230" s="1">
        <v>370.04</v>
      </c>
      <c r="C230" s="1">
        <v>13.64</v>
      </c>
      <c r="D230" s="1">
        <v>266.18</v>
      </c>
      <c r="E230">
        <f t="shared" si="27"/>
        <v>-1.3502932187488144E-3</v>
      </c>
      <c r="F230">
        <f t="shared" si="28"/>
        <v>-2.6764707933599495E-2</v>
      </c>
      <c r="G230">
        <f t="shared" si="29"/>
        <v>6.0291086241762307E-3</v>
      </c>
      <c r="H230">
        <f t="shared" ca="1" si="30"/>
        <v>-1.1276308289743612E-2</v>
      </c>
      <c r="I230" s="4">
        <f t="shared" ca="1" si="31"/>
        <v>424.12101458775749</v>
      </c>
      <c r="J230">
        <f t="shared" ca="1" si="32"/>
        <v>-1.4381025805959662E-2</v>
      </c>
      <c r="K230" s="4">
        <f t="shared" ca="1" si="33"/>
        <v>10.477639390000085</v>
      </c>
      <c r="L230">
        <f t="shared" ca="1" si="34"/>
        <v>1.8624329761906967E-2</v>
      </c>
      <c r="M230" s="4">
        <f t="shared" ca="1" si="35"/>
        <v>404.25405253564418</v>
      </c>
    </row>
    <row r="231" spans="1:13" x14ac:dyDescent="0.2">
      <c r="A231">
        <v>230</v>
      </c>
      <c r="B231" s="1">
        <v>385.75</v>
      </c>
      <c r="C231" s="1">
        <v>14.2</v>
      </c>
      <c r="D231" s="1">
        <v>272.14</v>
      </c>
      <c r="E231">
        <f t="shared" si="27"/>
        <v>4.1578383340152299E-2</v>
      </c>
      <c r="F231">
        <f t="shared" si="28"/>
        <v>4.0235312191898971E-2</v>
      </c>
      <c r="G231">
        <f t="shared" si="29"/>
        <v>2.214386810430231E-2</v>
      </c>
      <c r="H231">
        <f t="shared" ca="1" si="30"/>
        <v>-2.931256149173294E-2</v>
      </c>
      <c r="I231" s="4">
        <f t="shared" ca="1" si="31"/>
        <v>411.86938186761176</v>
      </c>
      <c r="J231">
        <f t="shared" ca="1" si="32"/>
        <v>-1.7558802290272655E-3</v>
      </c>
      <c r="K231" s="4">
        <f t="shared" ca="1" si="33"/>
        <v>10.459258052584431</v>
      </c>
      <c r="L231">
        <f t="shared" ca="1" si="34"/>
        <v>-2.5080724646871333E-2</v>
      </c>
      <c r="M231" s="4">
        <f t="shared" ca="1" si="35"/>
        <v>394.24115815279742</v>
      </c>
    </row>
    <row r="232" spans="1:13" x14ac:dyDescent="0.2">
      <c r="A232">
        <v>231</v>
      </c>
      <c r="B232" s="1">
        <v>387.73</v>
      </c>
      <c r="C232" s="1">
        <v>14.43</v>
      </c>
      <c r="D232" s="1">
        <v>274.23</v>
      </c>
      <c r="E232">
        <f t="shared" si="27"/>
        <v>5.1197298570556174E-3</v>
      </c>
      <c r="F232">
        <f t="shared" si="28"/>
        <v>1.6067408178564543E-2</v>
      </c>
      <c r="G232">
        <f t="shared" si="29"/>
        <v>7.650530571124887E-3</v>
      </c>
      <c r="H232">
        <f t="shared" ca="1" si="30"/>
        <v>5.0327563080987646E-2</v>
      </c>
      <c r="I232" s="4">
        <f t="shared" ca="1" si="31"/>
        <v>433.12823022296726</v>
      </c>
      <c r="J232">
        <f t="shared" ca="1" si="32"/>
        <v>-1.0938828722576212E-2</v>
      </c>
      <c r="K232" s="4">
        <f t="shared" ca="1" si="33"/>
        <v>10.345469511502653</v>
      </c>
      <c r="L232">
        <f t="shared" ca="1" si="34"/>
        <v>-7.6628391289273205E-3</v>
      </c>
      <c r="M232" s="4">
        <f t="shared" ca="1" si="35"/>
        <v>391.231696814977</v>
      </c>
    </row>
    <row r="233" spans="1:13" x14ac:dyDescent="0.2">
      <c r="A233">
        <v>232</v>
      </c>
      <c r="B233" s="1">
        <v>376.81</v>
      </c>
      <c r="C233" s="1">
        <v>14.41</v>
      </c>
      <c r="D233" s="1">
        <v>272.95</v>
      </c>
      <c r="E233">
        <f t="shared" si="27"/>
        <v>-2.8568139472146616E-2</v>
      </c>
      <c r="F233">
        <f t="shared" si="28"/>
        <v>-1.3869627743487095E-3</v>
      </c>
      <c r="G233">
        <f t="shared" si="29"/>
        <v>-4.6785421060705724E-3</v>
      </c>
      <c r="H233">
        <f t="shared" ca="1" si="30"/>
        <v>1.5045634423995001E-2</v>
      </c>
      <c r="I233" s="4">
        <f t="shared" ca="1" si="31"/>
        <v>439.69418988648363</v>
      </c>
      <c r="J233">
        <f t="shared" ca="1" si="32"/>
        <v>-3.1120510565826324E-2</v>
      </c>
      <c r="K233" s="4">
        <f t="shared" ca="1" si="33"/>
        <v>10.028471373821306</v>
      </c>
      <c r="L233">
        <f t="shared" ca="1" si="34"/>
        <v>1.4337166106473315E-2</v>
      </c>
      <c r="M233" s="4">
        <f t="shared" ca="1" si="35"/>
        <v>396.88125317843566</v>
      </c>
    </row>
    <row r="234" spans="1:13" x14ac:dyDescent="0.2">
      <c r="A234">
        <v>233</v>
      </c>
      <c r="B234" s="1">
        <v>374.58</v>
      </c>
      <c r="C234" s="1">
        <v>14.09</v>
      </c>
      <c r="D234" s="1">
        <v>264.18</v>
      </c>
      <c r="E234">
        <f t="shared" si="27"/>
        <v>-5.9356833264715466E-3</v>
      </c>
      <c r="F234">
        <f t="shared" si="28"/>
        <v>-2.2457084100841899E-2</v>
      </c>
      <c r="G234">
        <f t="shared" si="29"/>
        <v>-3.265793923204912E-2</v>
      </c>
      <c r="H234">
        <f t="shared" ca="1" si="30"/>
        <v>4.0555181233950903E-2</v>
      </c>
      <c r="I234" s="4">
        <f t="shared" ca="1" si="31"/>
        <v>457.89259300425692</v>
      </c>
      <c r="J234">
        <f t="shared" ca="1" si="32"/>
        <v>-6.6971596505964555E-3</v>
      </c>
      <c r="K234" s="4">
        <f t="shared" ca="1" si="33"/>
        <v>9.9615334969942708</v>
      </c>
      <c r="L234">
        <f t="shared" ca="1" si="34"/>
        <v>-1.3816083401743253E-2</v>
      </c>
      <c r="M234" s="4">
        <f t="shared" ca="1" si="35"/>
        <v>391.43561400997714</v>
      </c>
    </row>
    <row r="235" spans="1:13" x14ac:dyDescent="0.2">
      <c r="A235">
        <v>234</v>
      </c>
      <c r="B235" s="1">
        <v>369.11</v>
      </c>
      <c r="C235" s="1">
        <v>13.39</v>
      </c>
      <c r="D235" s="1">
        <v>264.72000000000003</v>
      </c>
      <c r="E235">
        <f t="shared" si="27"/>
        <v>-1.4710695704015935E-2</v>
      </c>
      <c r="F235">
        <f t="shared" si="28"/>
        <v>-5.0957166207507683E-2</v>
      </c>
      <c r="G235">
        <f t="shared" si="29"/>
        <v>2.0419746176394381E-3</v>
      </c>
      <c r="H235">
        <f t="shared" ca="1" si="30"/>
        <v>1.8270299151472283E-2</v>
      </c>
      <c r="I235" s="4">
        <f t="shared" ca="1" si="31"/>
        <v>466.33531836683602</v>
      </c>
      <c r="J235">
        <f t="shared" ca="1" si="32"/>
        <v>2.3101862130583918E-3</v>
      </c>
      <c r="K235" s="4">
        <f t="shared" ca="1" si="33"/>
        <v>9.9845730969762787</v>
      </c>
      <c r="L235">
        <f t="shared" ca="1" si="34"/>
        <v>-2.6354678099990168E-2</v>
      </c>
      <c r="M235" s="4">
        <f t="shared" ca="1" si="35"/>
        <v>381.25420755145103</v>
      </c>
    </row>
    <row r="236" spans="1:13" x14ac:dyDescent="0.2">
      <c r="A236">
        <v>235</v>
      </c>
      <c r="B236" s="1">
        <v>353.13</v>
      </c>
      <c r="C236" s="1">
        <v>12.7</v>
      </c>
      <c r="D236" s="1">
        <v>263.75</v>
      </c>
      <c r="E236">
        <f t="shared" si="27"/>
        <v>-4.4258441505192855E-2</v>
      </c>
      <c r="F236">
        <f t="shared" si="28"/>
        <v>-5.2906166238535599E-2</v>
      </c>
      <c r="G236">
        <f t="shared" si="29"/>
        <v>-3.6709788230805565E-3</v>
      </c>
      <c r="H236">
        <f t="shared" ca="1" si="30"/>
        <v>-4.1567116886399101E-2</v>
      </c>
      <c r="I236" s="4">
        <f t="shared" ca="1" si="31"/>
        <v>447.34845207863651</v>
      </c>
      <c r="J236">
        <f t="shared" ca="1" si="32"/>
        <v>4.5581352833742039E-2</v>
      </c>
      <c r="K236" s="4">
        <f t="shared" ca="1" si="33"/>
        <v>10.450215125315284</v>
      </c>
      <c r="L236">
        <f t="shared" ca="1" si="34"/>
        <v>9.3036751284436142E-3</v>
      </c>
      <c r="M236" s="4">
        <f t="shared" ca="1" si="35"/>
        <v>384.8178245020211</v>
      </c>
    </row>
    <row r="237" spans="1:13" x14ac:dyDescent="0.2">
      <c r="A237">
        <v>236</v>
      </c>
      <c r="B237" s="1">
        <v>357.44</v>
      </c>
      <c r="C237" s="1">
        <v>12.81</v>
      </c>
      <c r="D237" s="1">
        <v>262.52</v>
      </c>
      <c r="E237">
        <f t="shared" si="27"/>
        <v>1.2131254788336909E-2</v>
      </c>
      <c r="F237">
        <f t="shared" si="28"/>
        <v>8.6241224440974044E-3</v>
      </c>
      <c r="G237">
        <f t="shared" si="29"/>
        <v>-4.6744151847542721E-3</v>
      </c>
      <c r="H237">
        <f t="shared" ca="1" si="30"/>
        <v>-3.1482133199581194E-2</v>
      </c>
      <c r="I237" s="4">
        <f t="shared" ca="1" si="31"/>
        <v>433.48434935694394</v>
      </c>
      <c r="J237">
        <f t="shared" ca="1" si="32"/>
        <v>-1.1071449098652663E-2</v>
      </c>
      <c r="K237" s="4">
        <f t="shared" ca="1" si="33"/>
        <v>10.33515422127239</v>
      </c>
      <c r="L237">
        <f t="shared" ca="1" si="34"/>
        <v>3.0366021230588312E-2</v>
      </c>
      <c r="M237" s="4">
        <f t="shared" ca="1" si="35"/>
        <v>396.68243963010536</v>
      </c>
    </row>
    <row r="238" spans="1:13" x14ac:dyDescent="0.2">
      <c r="A238">
        <v>237</v>
      </c>
      <c r="B238" s="1">
        <v>353.86</v>
      </c>
      <c r="C238" s="1">
        <v>12.34</v>
      </c>
      <c r="D238" s="1">
        <v>260.29000000000002</v>
      </c>
      <c r="E238">
        <f t="shared" si="27"/>
        <v>-1.0066161195979135E-2</v>
      </c>
      <c r="F238">
        <f t="shared" si="28"/>
        <v>-3.7380097431401166E-2</v>
      </c>
      <c r="G238">
        <f t="shared" si="29"/>
        <v>-8.5308755538726425E-3</v>
      </c>
      <c r="H238">
        <f t="shared" ca="1" si="30"/>
        <v>-3.4752033558277502E-2</v>
      </c>
      <c r="I238" s="4">
        <f t="shared" ca="1" si="31"/>
        <v>418.67864098412474</v>
      </c>
      <c r="J238">
        <f t="shared" ca="1" si="32"/>
        <v>-4.2568545543635993E-3</v>
      </c>
      <c r="K238" s="4">
        <f t="shared" ca="1" si="33"/>
        <v>10.291252480911789</v>
      </c>
      <c r="L238">
        <f t="shared" ca="1" si="34"/>
        <v>-2.6893774627219591E-2</v>
      </c>
      <c r="M238" s="4">
        <f t="shared" ca="1" si="35"/>
        <v>386.15632935071494</v>
      </c>
    </row>
    <row r="239" spans="1:13" x14ac:dyDescent="0.2">
      <c r="A239">
        <v>238</v>
      </c>
      <c r="B239" s="1">
        <v>338.89</v>
      </c>
      <c r="C239" s="1">
        <v>12.15</v>
      </c>
      <c r="D239" s="1">
        <v>257.45999999999998</v>
      </c>
      <c r="E239">
        <f t="shared" si="27"/>
        <v>-4.3225783736469237E-2</v>
      </c>
      <c r="F239">
        <f t="shared" si="28"/>
        <v>-1.5516848690684244E-2</v>
      </c>
      <c r="G239">
        <f t="shared" si="29"/>
        <v>-1.0932025820161116E-2</v>
      </c>
      <c r="H239">
        <f t="shared" ca="1" si="30"/>
        <v>5.1909431228164158E-3</v>
      </c>
      <c r="I239" s="4">
        <f t="shared" ca="1" si="31"/>
        <v>420.85762860371608</v>
      </c>
      <c r="J239">
        <f t="shared" ca="1" si="32"/>
        <v>-5.9450769174723452E-3</v>
      </c>
      <c r="K239" s="4">
        <f t="shared" ca="1" si="33"/>
        <v>10.230251700169628</v>
      </c>
      <c r="L239">
        <f t="shared" ca="1" si="34"/>
        <v>1.9570715808508936E-2</v>
      </c>
      <c r="M239" s="4">
        <f t="shared" ca="1" si="35"/>
        <v>393.78812135831822</v>
      </c>
    </row>
    <row r="240" spans="1:13" x14ac:dyDescent="0.2">
      <c r="A240">
        <v>239</v>
      </c>
      <c r="B240" s="1">
        <v>348.7</v>
      </c>
      <c r="C240" s="1">
        <v>12.19</v>
      </c>
      <c r="D240" s="1">
        <v>259.88</v>
      </c>
      <c r="E240">
        <f t="shared" si="27"/>
        <v>2.8536382733217937E-2</v>
      </c>
      <c r="F240">
        <f t="shared" si="28"/>
        <v>3.2867737066227228E-3</v>
      </c>
      <c r="G240">
        <f t="shared" si="29"/>
        <v>9.3556177808418479E-3</v>
      </c>
      <c r="H240">
        <f t="shared" ca="1" si="30"/>
        <v>1.2042669341277016E-2</v>
      </c>
      <c r="I240" s="4">
        <f t="shared" ca="1" si="31"/>
        <v>425.95651836400572</v>
      </c>
      <c r="J240">
        <f t="shared" ca="1" si="32"/>
        <v>6.1752166224571499E-3</v>
      </c>
      <c r="K240" s="4">
        <f t="shared" ca="1" si="33"/>
        <v>10.293621179276986</v>
      </c>
      <c r="L240">
        <f t="shared" ca="1" si="34"/>
        <v>-3.5256621464736244E-2</v>
      </c>
      <c r="M240" s="4">
        <f t="shared" ca="1" si="35"/>
        <v>380.14637660324581</v>
      </c>
    </row>
    <row r="241" spans="1:13" x14ac:dyDescent="0.2">
      <c r="A241">
        <v>240</v>
      </c>
      <c r="B241" s="1">
        <v>347.09</v>
      </c>
      <c r="C241" s="1">
        <v>12.24</v>
      </c>
      <c r="D241" s="1">
        <v>260.83</v>
      </c>
      <c r="E241">
        <f t="shared" si="27"/>
        <v>-4.6278413700546967E-3</v>
      </c>
      <c r="F241">
        <f t="shared" si="28"/>
        <v>4.0933335910000096E-3</v>
      </c>
      <c r="G241">
        <f t="shared" si="29"/>
        <v>3.6488680994934642E-3</v>
      </c>
      <c r="H241">
        <f t="shared" ca="1" si="30"/>
        <v>7.6022294808273296E-3</v>
      </c>
      <c r="I241" s="4">
        <f t="shared" ca="1" si="31"/>
        <v>429.20707765912317</v>
      </c>
      <c r="J241">
        <f t="shared" ca="1" si="32"/>
        <v>2.995381529468738E-2</v>
      </c>
      <c r="K241" s="4">
        <f t="shared" ca="1" si="33"/>
        <v>10.606618740112765</v>
      </c>
      <c r="L241">
        <f t="shared" ca="1" si="34"/>
        <v>2.2105380695711822E-2</v>
      </c>
      <c r="M241" s="4">
        <f t="shared" ca="1" si="35"/>
        <v>388.64322400707266</v>
      </c>
    </row>
    <row r="242" spans="1:13" x14ac:dyDescent="0.2">
      <c r="A242">
        <v>241</v>
      </c>
      <c r="B242" s="1">
        <v>354.56</v>
      </c>
      <c r="C242" s="1">
        <v>12.11</v>
      </c>
      <c r="D242" s="1">
        <v>260.81</v>
      </c>
      <c r="E242">
        <f t="shared" si="27"/>
        <v>2.1293471807313634E-2</v>
      </c>
      <c r="F242">
        <f t="shared" si="28"/>
        <v>-1.0677719519179214E-2</v>
      </c>
      <c r="G242">
        <f t="shared" si="29"/>
        <v>-7.6681236139007375E-5</v>
      </c>
      <c r="H242">
        <f t="shared" ca="1" si="30"/>
        <v>3.773417532766242E-3</v>
      </c>
      <c r="I242" s="4">
        <f t="shared" ca="1" si="31"/>
        <v>430.82971468930862</v>
      </c>
      <c r="J242">
        <f t="shared" ca="1" si="32"/>
        <v>4.0744190167996248E-2</v>
      </c>
      <c r="K242" s="4">
        <f t="shared" ca="1" si="33"/>
        <v>11.047701594911327</v>
      </c>
      <c r="L242">
        <f t="shared" ca="1" si="34"/>
        <v>1.4842192791211867E-2</v>
      </c>
      <c r="M242" s="4">
        <f t="shared" ca="1" si="35"/>
        <v>394.45456147878008</v>
      </c>
    </row>
    <row r="243" spans="1:13" x14ac:dyDescent="0.2">
      <c r="A243">
        <v>242</v>
      </c>
      <c r="B243" s="1">
        <v>336.71</v>
      </c>
      <c r="C243" s="1">
        <v>12.04</v>
      </c>
      <c r="D243" s="1">
        <v>255.76</v>
      </c>
      <c r="E243">
        <f t="shared" si="27"/>
        <v>-5.165555836317267E-2</v>
      </c>
      <c r="F243">
        <f t="shared" si="28"/>
        <v>-5.7971176843259579E-3</v>
      </c>
      <c r="G243">
        <f t="shared" si="29"/>
        <v>-1.9552668124098685E-2</v>
      </c>
      <c r="H243">
        <f t="shared" ca="1" si="30"/>
        <v>2.6313612042576547E-2</v>
      </c>
      <c r="I243" s="4">
        <f t="shared" ca="1" si="31"/>
        <v>442.31687215329521</v>
      </c>
      <c r="J243">
        <f t="shared" ca="1" si="32"/>
        <v>5.4534507546955728E-4</v>
      </c>
      <c r="K243" s="4">
        <f t="shared" ca="1" si="33"/>
        <v>11.05372804767018</v>
      </c>
      <c r="L243">
        <f t="shared" ca="1" si="34"/>
        <v>5.3093090726411361E-3</v>
      </c>
      <c r="M243" s="4">
        <f t="shared" ca="1" si="35"/>
        <v>396.55441210609717</v>
      </c>
    </row>
    <row r="244" spans="1:13" x14ac:dyDescent="0.2">
      <c r="A244">
        <v>243</v>
      </c>
      <c r="B244" s="1">
        <v>338.31</v>
      </c>
      <c r="C244" s="1">
        <v>11.67</v>
      </c>
      <c r="D244" s="1">
        <v>250.12</v>
      </c>
      <c r="E244">
        <f t="shared" si="27"/>
        <v>4.7406091566142934E-3</v>
      </c>
      <c r="F244">
        <f t="shared" si="28"/>
        <v>-3.1212993582210257E-2</v>
      </c>
      <c r="G244">
        <f t="shared" si="29"/>
        <v>-2.2298702052488843E-2</v>
      </c>
      <c r="H244">
        <f t="shared" ca="1" si="30"/>
        <v>-2.8662979654991795E-2</v>
      </c>
      <c r="I244" s="4">
        <f t="shared" ca="1" si="31"/>
        <v>429.81872536894963</v>
      </c>
      <c r="J244">
        <f t="shared" ca="1" si="32"/>
        <v>-1.6875473186612712E-3</v>
      </c>
      <c r="K244" s="4">
        <f t="shared" ca="1" si="33"/>
        <v>11.035090089183681</v>
      </c>
      <c r="L244">
        <f t="shared" ca="1" si="34"/>
        <v>1.6029043214067857E-2</v>
      </c>
      <c r="M244" s="4">
        <f t="shared" ca="1" si="35"/>
        <v>402.96201660751558</v>
      </c>
    </row>
    <row r="245" spans="1:13" x14ac:dyDescent="0.2">
      <c r="A245">
        <v>244</v>
      </c>
      <c r="B245" s="1">
        <v>340.23</v>
      </c>
      <c r="C245" s="1">
        <v>11.71</v>
      </c>
      <c r="D245" s="1">
        <v>252.82</v>
      </c>
      <c r="E245">
        <f t="shared" si="27"/>
        <v>5.6592245830428111E-3</v>
      </c>
      <c r="F245">
        <f t="shared" si="28"/>
        <v>3.4217313111615387E-3</v>
      </c>
      <c r="G245">
        <f t="shared" si="29"/>
        <v>1.0736970368314249E-2</v>
      </c>
      <c r="H245">
        <f t="shared" ca="1" si="30"/>
        <v>4.4169297437526324E-3</v>
      </c>
      <c r="I245" s="4">
        <f t="shared" ca="1" si="31"/>
        <v>431.72140338569574</v>
      </c>
      <c r="J245">
        <f t="shared" ca="1" si="32"/>
        <v>3.3626997741003836E-4</v>
      </c>
      <c r="K245" s="4">
        <f t="shared" ca="1" si="33"/>
        <v>11.038801482658817</v>
      </c>
      <c r="L245">
        <f t="shared" ca="1" si="34"/>
        <v>4.0763809646273807E-3</v>
      </c>
      <c r="M245" s="4">
        <f t="shared" ca="1" si="35"/>
        <v>404.60799584143814</v>
      </c>
    </row>
    <row r="246" spans="1:13" x14ac:dyDescent="0.2">
      <c r="A246">
        <v>245</v>
      </c>
      <c r="B246" s="1">
        <v>345.98</v>
      </c>
      <c r="C246" s="1">
        <v>11.94</v>
      </c>
      <c r="D246" s="1">
        <v>254.23</v>
      </c>
      <c r="E246">
        <f t="shared" si="27"/>
        <v>1.6759110423482486E-2</v>
      </c>
      <c r="F246">
        <f t="shared" si="28"/>
        <v>1.9450930354829993E-2</v>
      </c>
      <c r="G246">
        <f t="shared" si="29"/>
        <v>5.5615960336526096E-3</v>
      </c>
      <c r="H246">
        <f t="shared" ca="1" si="30"/>
        <v>-2.5369720760457778E-2</v>
      </c>
      <c r="I246" s="4">
        <f t="shared" ca="1" si="31"/>
        <v>420.90651730806479</v>
      </c>
      <c r="J246">
        <f t="shared" ca="1" si="32"/>
        <v>-1.3969190874670263E-2</v>
      </c>
      <c r="K246" s="4">
        <f t="shared" ca="1" si="33"/>
        <v>10.885670406472652</v>
      </c>
      <c r="L246">
        <f t="shared" ca="1" si="34"/>
        <v>2.2500446685900791E-2</v>
      </c>
      <c r="M246" s="4">
        <f t="shared" ca="1" si="35"/>
        <v>413.81504945532492</v>
      </c>
    </row>
    <row r="247" spans="1:13" x14ac:dyDescent="0.2">
      <c r="A247">
        <v>246</v>
      </c>
      <c r="B247" s="1">
        <v>339.57</v>
      </c>
      <c r="C247" s="1">
        <v>11.79</v>
      </c>
      <c r="D247" s="1">
        <v>249.94</v>
      </c>
      <c r="E247">
        <f t="shared" si="27"/>
        <v>-1.8700858606392909E-2</v>
      </c>
      <c r="F247">
        <f t="shared" si="28"/>
        <v>-1.2642393415176468E-2</v>
      </c>
      <c r="G247">
        <f t="shared" si="29"/>
        <v>-1.7018480043426643E-2</v>
      </c>
      <c r="H247">
        <f t="shared" ca="1" si="30"/>
        <v>-2.562900073646995E-2</v>
      </c>
      <c r="I247" s="4">
        <f t="shared" ca="1" si="31"/>
        <v>410.25616576318561</v>
      </c>
      <c r="J247">
        <f t="shared" ca="1" si="32"/>
        <v>1.0784451661274889E-2</v>
      </c>
      <c r="K247" s="4">
        <f t="shared" ca="1" si="33"/>
        <v>11.003701700201704</v>
      </c>
      <c r="L247">
        <f t="shared" ca="1" si="34"/>
        <v>3.2663731791343388E-2</v>
      </c>
      <c r="M247" s="4">
        <f t="shared" ca="1" si="35"/>
        <v>427.55497019091166</v>
      </c>
    </row>
    <row r="248" spans="1:13" x14ac:dyDescent="0.2">
      <c r="A248">
        <v>247</v>
      </c>
      <c r="B248" s="1">
        <v>338.79</v>
      </c>
      <c r="C248" s="1">
        <v>11.64</v>
      </c>
      <c r="D248" s="1">
        <v>248.96</v>
      </c>
      <c r="E248">
        <f t="shared" si="27"/>
        <v>-2.2996649087497463E-3</v>
      </c>
      <c r="F248">
        <f t="shared" si="28"/>
        <v>-1.2804272245987628E-2</v>
      </c>
      <c r="G248">
        <f t="shared" si="29"/>
        <v>-3.9286480676107884E-3</v>
      </c>
      <c r="H248">
        <f t="shared" ca="1" si="30"/>
        <v>-2.0433037072832144E-2</v>
      </c>
      <c r="I248" s="4">
        <f t="shared" ca="1" si="31"/>
        <v>401.9584487936379</v>
      </c>
      <c r="J248">
        <f t="shared" ca="1" si="32"/>
        <v>-5.9334608967066367E-3</v>
      </c>
      <c r="K248" s="4">
        <f t="shared" ca="1" si="33"/>
        <v>10.938604981843557</v>
      </c>
      <c r="L248">
        <f t="shared" ca="1" si="34"/>
        <v>2.2484051931687824E-3</v>
      </c>
      <c r="M248" s="4">
        <f t="shared" ca="1" si="35"/>
        <v>428.51736853153113</v>
      </c>
    </row>
    <row r="249" spans="1:13" x14ac:dyDescent="0.2">
      <c r="A249">
        <v>248</v>
      </c>
      <c r="B249" s="1">
        <v>329.24</v>
      </c>
      <c r="C249" s="1">
        <v>11.52</v>
      </c>
      <c r="D249" s="1">
        <v>247.99</v>
      </c>
      <c r="E249">
        <f t="shared" si="27"/>
        <v>-2.859347829924536E-2</v>
      </c>
      <c r="F249">
        <f t="shared" si="28"/>
        <v>-1.0362787035546659E-2</v>
      </c>
      <c r="G249">
        <f t="shared" si="29"/>
        <v>-3.9038182186668519E-3</v>
      </c>
      <c r="H249">
        <f t="shared" ca="1" si="30"/>
        <v>-2.9022434019262446E-2</v>
      </c>
      <c r="I249" s="4">
        <f t="shared" ca="1" si="31"/>
        <v>390.46029549754894</v>
      </c>
      <c r="J249">
        <f t="shared" ca="1" si="32"/>
        <v>-2.8712181440052914E-2</v>
      </c>
      <c r="K249" s="4">
        <f t="shared" ca="1" si="33"/>
        <v>10.628999760855704</v>
      </c>
      <c r="L249">
        <f t="shared" ca="1" si="34"/>
        <v>-3.7861470831287813E-3</v>
      </c>
      <c r="M249" s="4">
        <f t="shared" ca="1" si="35"/>
        <v>426.89800625292986</v>
      </c>
    </row>
    <row r="250" spans="1:13" x14ac:dyDescent="0.2">
      <c r="A250">
        <v>249</v>
      </c>
      <c r="B250" s="1">
        <v>338.45</v>
      </c>
      <c r="C250" s="1">
        <v>11.76</v>
      </c>
      <c r="D250" s="1">
        <v>251.49</v>
      </c>
      <c r="E250">
        <f t="shared" si="27"/>
        <v>2.7589402850173337E-2</v>
      </c>
      <c r="F250">
        <f t="shared" si="28"/>
        <v>2.061928720273561E-2</v>
      </c>
      <c r="G250">
        <f t="shared" si="29"/>
        <v>1.4014804546515736E-2</v>
      </c>
      <c r="H250">
        <f t="shared" ca="1" si="30"/>
        <v>2.7888118876807835E-2</v>
      </c>
      <c r="I250" s="4">
        <f t="shared" ca="1" si="31"/>
        <v>401.50275973489363</v>
      </c>
      <c r="J250">
        <f t="shared" ca="1" si="32"/>
        <v>1.333317637069005E-2</v>
      </c>
      <c r="K250" s="4">
        <f t="shared" ca="1" si="33"/>
        <v>10.771667080041848</v>
      </c>
      <c r="L250">
        <f t="shared" ca="1" si="34"/>
        <v>-4.8945471120285237E-2</v>
      </c>
      <c r="M250" s="4">
        <f t="shared" ca="1" si="35"/>
        <v>406.50639159374282</v>
      </c>
    </row>
    <row r="251" spans="1:13" x14ac:dyDescent="0.2">
      <c r="A251">
        <v>250</v>
      </c>
      <c r="B251" s="1">
        <v>343.25</v>
      </c>
      <c r="C251" s="1">
        <v>11.84</v>
      </c>
      <c r="D251" s="1">
        <v>251.64</v>
      </c>
      <c r="E251">
        <f t="shared" si="27"/>
        <v>1.4082673693463874E-2</v>
      </c>
      <c r="F251">
        <f t="shared" si="28"/>
        <v>6.7796869853787691E-3</v>
      </c>
      <c r="G251">
        <f t="shared" si="29"/>
        <v>5.9626738395318244E-4</v>
      </c>
      <c r="H251">
        <f t="shared" ca="1" si="30"/>
        <v>1.3602723130657478E-2</v>
      </c>
      <c r="I251" s="4">
        <f t="shared" ca="1" si="31"/>
        <v>407.00160546050893</v>
      </c>
      <c r="J251">
        <f t="shared" ca="1" si="32"/>
        <v>3.1352018364288335E-3</v>
      </c>
      <c r="K251" s="4">
        <f t="shared" ca="1" si="33"/>
        <v>10.805491425821762</v>
      </c>
      <c r="L251">
        <f t="shared" ca="1" si="34"/>
        <v>1.957352571206938E-2</v>
      </c>
      <c r="M251" s="4">
        <f t="shared" ca="1" si="35"/>
        <v>414.54153642298093</v>
      </c>
    </row>
    <row r="252" spans="1:13" x14ac:dyDescent="0.2">
      <c r="A252">
        <v>251</v>
      </c>
      <c r="B252" s="1">
        <v>347.75</v>
      </c>
      <c r="C252" s="1">
        <v>11.67</v>
      </c>
      <c r="D252" s="1">
        <v>252.62</v>
      </c>
      <c r="E252">
        <f>LN(B252/B251)</f>
        <v>1.3024786155471783E-2</v>
      </c>
      <c r="F252">
        <f t="shared" si="28"/>
        <v>-1.4462183157395014E-2</v>
      </c>
      <c r="G252">
        <f t="shared" si="29"/>
        <v>3.8868886440003949E-3</v>
      </c>
      <c r="H252">
        <f t="shared" ca="1" si="30"/>
        <v>7.5749466053274105E-3</v>
      </c>
      <c r="I252" s="4">
        <f t="shared" ca="1" si="31"/>
        <v>410.09632726851527</v>
      </c>
      <c r="J252">
        <f t="shared" ca="1" si="32"/>
        <v>-5.6144291922220098E-3</v>
      </c>
      <c r="K252" s="4">
        <f t="shared" ca="1" si="33"/>
        <v>10.744994745402295</v>
      </c>
      <c r="L252">
        <f t="shared" ca="1" si="34"/>
        <v>5.7130761203665337E-2</v>
      </c>
      <c r="M252" s="4">
        <f t="shared" ca="1" si="35"/>
        <v>438.91419538073842</v>
      </c>
    </row>
    <row r="254" spans="1:13" x14ac:dyDescent="0.2">
      <c r="A254" t="s">
        <v>6</v>
      </c>
      <c r="E254">
        <f>AVERAGE(E3:E252)</f>
        <v>2.7812249256665548E-3</v>
      </c>
      <c r="F254">
        <f>AVERAGE(F3:F251)</f>
        <v>5.5959732618582596E-4</v>
      </c>
      <c r="G254">
        <f>AVERAGE(G3:G251)</f>
        <v>5.1181314942668388E-4</v>
      </c>
    </row>
    <row r="255" spans="1:13" x14ac:dyDescent="0.2">
      <c r="A255" t="s">
        <v>7</v>
      </c>
      <c r="E255">
        <f>STDEV(E3:E252)</f>
        <v>2.3597208584223952E-2</v>
      </c>
      <c r="F255">
        <f>STDEV(F3:F251)</f>
        <v>2.0609450683983368E-2</v>
      </c>
      <c r="G255">
        <f>STDEV(G3:G251)</f>
        <v>1.9811126407577567E-2</v>
      </c>
    </row>
    <row r="256" spans="1:13" x14ac:dyDescent="0.2">
      <c r="A256" t="s">
        <v>11</v>
      </c>
      <c r="E256">
        <f>VAR(E3:E252)</f>
        <v>5.5682825296737262E-4</v>
      </c>
      <c r="F256">
        <f>VAR(F3:F251)</f>
        <v>4.2474945749554246E-4</v>
      </c>
      <c r="G256">
        <f>VAR(G3:G251)</f>
        <v>3.9248072953701729E-4</v>
      </c>
    </row>
    <row r="258" spans="2:2" x14ac:dyDescent="0.2">
      <c r="B258">
        <v>-0.06</v>
      </c>
    </row>
    <row r="259" spans="2:2" x14ac:dyDescent="0.2">
      <c r="B259">
        <f>B258+0.01</f>
        <v>-4.9999999999999996E-2</v>
      </c>
    </row>
    <row r="260" spans="2:2" x14ac:dyDescent="0.2">
      <c r="B260">
        <f t="shared" ref="B260:B270" si="36">B259+0.01</f>
        <v>-3.9999999999999994E-2</v>
      </c>
    </row>
    <row r="261" spans="2:2" x14ac:dyDescent="0.2">
      <c r="B261">
        <f t="shared" si="36"/>
        <v>-2.9999999999999992E-2</v>
      </c>
    </row>
    <row r="262" spans="2:2" x14ac:dyDescent="0.2">
      <c r="B262">
        <f t="shared" si="36"/>
        <v>-1.999999999999999E-2</v>
      </c>
    </row>
    <row r="263" spans="2:2" x14ac:dyDescent="0.2">
      <c r="B263">
        <f t="shared" si="36"/>
        <v>-9.9999999999999898E-3</v>
      </c>
    </row>
    <row r="264" spans="2:2" x14ac:dyDescent="0.2">
      <c r="B264">
        <f t="shared" si="36"/>
        <v>0</v>
      </c>
    </row>
    <row r="265" spans="2:2" x14ac:dyDescent="0.2">
      <c r="B265">
        <f t="shared" si="36"/>
        <v>0.01</v>
      </c>
    </row>
    <row r="266" spans="2:2" x14ac:dyDescent="0.2">
      <c r="B266">
        <f t="shared" si="36"/>
        <v>0.02</v>
      </c>
    </row>
    <row r="267" spans="2:2" x14ac:dyDescent="0.2">
      <c r="B267">
        <f t="shared" si="36"/>
        <v>0.03</v>
      </c>
    </row>
    <row r="268" spans="2:2" x14ac:dyDescent="0.2">
      <c r="B268">
        <f t="shared" si="36"/>
        <v>0.04</v>
      </c>
    </row>
    <row r="269" spans="2:2" x14ac:dyDescent="0.2">
      <c r="B269">
        <f t="shared" si="36"/>
        <v>0.05</v>
      </c>
    </row>
    <row r="270" spans="2:2" x14ac:dyDescent="0.2">
      <c r="B270">
        <f t="shared" si="36"/>
        <v>6.0000000000000005E-2</v>
      </c>
    </row>
  </sheetData>
  <pageMargins left="0.7" right="0.7" top="0.75" bottom="0.75" header="0.3" footer="0.3"/>
  <ignoredErrors>
    <ignoredError sqref="J3 J11"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C3E9-CEED-0642-828E-3A07DA61D4AA}">
  <dimension ref="A1:N256"/>
  <sheetViews>
    <sheetView topLeftCell="A5" zoomScale="56" workbookViewId="0">
      <selection activeCell="L10" sqref="L10"/>
    </sheetView>
  </sheetViews>
  <sheetFormatPr baseColWidth="10" defaultRowHeight="15" x14ac:dyDescent="0.2"/>
  <sheetData>
    <row r="1" spans="1:14" x14ac:dyDescent="0.2">
      <c r="A1" t="s">
        <v>12</v>
      </c>
      <c r="B1" t="s">
        <v>0</v>
      </c>
      <c r="C1" t="s">
        <v>1</v>
      </c>
      <c r="D1" t="s">
        <v>2</v>
      </c>
      <c r="E1" t="s">
        <v>3</v>
      </c>
      <c r="F1" t="s">
        <v>4</v>
      </c>
      <c r="G1" t="s">
        <v>5</v>
      </c>
      <c r="H1" t="s">
        <v>8</v>
      </c>
      <c r="I1" t="s">
        <v>9</v>
      </c>
      <c r="J1" t="s">
        <v>10</v>
      </c>
    </row>
    <row r="2" spans="1:14" x14ac:dyDescent="0.2">
      <c r="A2">
        <v>1</v>
      </c>
      <c r="B2" s="1">
        <v>173.5</v>
      </c>
      <c r="C2" s="1">
        <v>10.3</v>
      </c>
      <c r="D2" s="1">
        <v>221.53</v>
      </c>
      <c r="H2" s="1">
        <v>173.5</v>
      </c>
      <c r="I2" s="1">
        <v>10.3</v>
      </c>
      <c r="J2" s="1">
        <v>221.53</v>
      </c>
      <c r="L2" s="1"/>
      <c r="N2" s="5" t="s">
        <v>26</v>
      </c>
    </row>
    <row r="3" spans="1:14" x14ac:dyDescent="0.2">
      <c r="A3">
        <v>2</v>
      </c>
      <c r="B3" s="1">
        <v>168.24</v>
      </c>
      <c r="C3" s="1">
        <v>9.9</v>
      </c>
      <c r="D3" s="1">
        <v>223.85</v>
      </c>
      <c r="E3">
        <v>-3.0786067992469517E-2</v>
      </c>
      <c r="F3">
        <v>-3.9609138095045827E-2</v>
      </c>
      <c r="G3">
        <v>1.041816419239041E-2</v>
      </c>
      <c r="H3">
        <v>171.24737538701203</v>
      </c>
      <c r="I3">
        <v>10.060208311109911</v>
      </c>
      <c r="J3">
        <v>225.56400502000568</v>
      </c>
    </row>
    <row r="4" spans="1:14" x14ac:dyDescent="0.2">
      <c r="A4">
        <v>3</v>
      </c>
      <c r="B4" s="1">
        <v>165.25</v>
      </c>
      <c r="C4" s="1">
        <v>9.7200000000000006</v>
      </c>
      <c r="D4" s="1">
        <v>217.9</v>
      </c>
      <c r="E4">
        <v>-1.7932052662648686E-2</v>
      </c>
      <c r="F4">
        <v>-1.8349138668196541E-2</v>
      </c>
      <c r="G4">
        <v>-2.693994273640031E-2</v>
      </c>
      <c r="H4">
        <v>181.06500310913805</v>
      </c>
      <c r="I4">
        <v>10.129474009573032</v>
      </c>
      <c r="J4">
        <v>229.51472209068424</v>
      </c>
    </row>
    <row r="5" spans="1:14" x14ac:dyDescent="0.2">
      <c r="A5">
        <v>4</v>
      </c>
      <c r="B5" s="1">
        <v>166</v>
      </c>
      <c r="C5" s="1">
        <v>10.029999999999999</v>
      </c>
      <c r="D5" s="1">
        <v>222.13</v>
      </c>
      <c r="E5">
        <v>4.5283096247476099E-3</v>
      </c>
      <c r="F5">
        <v>3.1394983501496235E-2</v>
      </c>
      <c r="G5">
        <v>1.9226554118956955E-2</v>
      </c>
      <c r="H5">
        <v>177.39064552302511</v>
      </c>
      <c r="I5">
        <v>9.9207175731480479</v>
      </c>
      <c r="J5">
        <v>230.84413495981929</v>
      </c>
    </row>
    <row r="6" spans="1:14" x14ac:dyDescent="0.2">
      <c r="A6">
        <v>5</v>
      </c>
      <c r="B6" s="1">
        <v>168.64</v>
      </c>
      <c r="C6" s="1">
        <v>9.94</v>
      </c>
      <c r="D6" s="1">
        <v>223.19</v>
      </c>
      <c r="E6">
        <v>1.5778476996454231E-2</v>
      </c>
      <c r="F6">
        <v>-9.0135813053615239E-3</v>
      </c>
      <c r="G6">
        <v>4.7606305665627204E-3</v>
      </c>
      <c r="H6">
        <v>176.11575265082584</v>
      </c>
      <c r="I6">
        <v>9.8852380944987388</v>
      </c>
      <c r="J6">
        <v>216.3690782668516</v>
      </c>
      <c r="L6" s="1"/>
    </row>
    <row r="7" spans="1:14" x14ac:dyDescent="0.2">
      <c r="A7">
        <v>6</v>
      </c>
      <c r="B7" s="1">
        <v>170.39</v>
      </c>
      <c r="C7" s="1">
        <v>10.15</v>
      </c>
      <c r="D7" s="1">
        <v>223.89</v>
      </c>
      <c r="E7">
        <v>1.0323661874150411E-2</v>
      </c>
      <c r="F7">
        <v>2.0906684819313862E-2</v>
      </c>
      <c r="G7">
        <v>3.1314331753118378E-3</v>
      </c>
      <c r="H7">
        <v>170.07318795772011</v>
      </c>
      <c r="I7">
        <v>10.0315586166206</v>
      </c>
      <c r="J7">
        <v>217.74796134055498</v>
      </c>
    </row>
    <row r="8" spans="1:14" x14ac:dyDescent="0.2">
      <c r="A8">
        <v>7</v>
      </c>
      <c r="B8" s="1">
        <v>157.38</v>
      </c>
      <c r="C8" s="1">
        <v>9.5399999999999991</v>
      </c>
      <c r="D8" s="1">
        <v>203.19</v>
      </c>
      <c r="E8">
        <v>-7.9426664120310478E-2</v>
      </c>
      <c r="F8">
        <v>-6.1980220027601292E-2</v>
      </c>
      <c r="G8">
        <v>-9.7013357916483689E-2</v>
      </c>
      <c r="H8">
        <v>168.87309491218713</v>
      </c>
      <c r="I8">
        <v>9.7643535045548866</v>
      </c>
      <c r="J8">
        <v>217.06755657794227</v>
      </c>
    </row>
    <row r="9" spans="1:14" x14ac:dyDescent="0.2">
      <c r="A9">
        <v>8</v>
      </c>
      <c r="B9" s="1">
        <v>146.80000000000001</v>
      </c>
      <c r="C9" s="1">
        <v>9.58</v>
      </c>
      <c r="D9" s="1">
        <v>188.38</v>
      </c>
      <c r="E9">
        <v>-6.9592146926421974E-2</v>
      </c>
      <c r="F9">
        <v>4.1841065225740907E-3</v>
      </c>
      <c r="G9">
        <v>-7.5680302500250957E-2</v>
      </c>
      <c r="H9">
        <v>173.5409858667046</v>
      </c>
      <c r="I9">
        <v>9.8923629080357909</v>
      </c>
      <c r="J9">
        <v>217.63983999210481</v>
      </c>
    </row>
    <row r="10" spans="1:14" x14ac:dyDescent="0.2">
      <c r="A10">
        <v>9</v>
      </c>
      <c r="B10" s="1">
        <v>146.16999999999999</v>
      </c>
      <c r="C10" s="1">
        <v>9.24</v>
      </c>
      <c r="D10" s="1">
        <v>181.46</v>
      </c>
      <c r="E10">
        <v>-4.3007882792140146E-3</v>
      </c>
      <c r="F10">
        <v>-3.6135706329176322E-2</v>
      </c>
      <c r="G10">
        <v>-3.7425955653188146E-2</v>
      </c>
      <c r="H10">
        <v>173.84745203642521</v>
      </c>
      <c r="I10">
        <v>9.630615375676145</v>
      </c>
      <c r="J10">
        <v>228.07267124905201</v>
      </c>
    </row>
    <row r="11" spans="1:14" x14ac:dyDescent="0.2">
      <c r="A11">
        <v>10</v>
      </c>
      <c r="B11" s="1">
        <v>141.37</v>
      </c>
      <c r="C11" s="1">
        <v>8.69</v>
      </c>
      <c r="D11" s="1">
        <v>172.42</v>
      </c>
      <c r="E11">
        <v>-3.3389761022260045E-2</v>
      </c>
      <c r="F11">
        <v>-6.1368946376292248E-2</v>
      </c>
      <c r="G11">
        <v>-5.1101882959704026E-2</v>
      </c>
      <c r="H11">
        <v>176.08572142501802</v>
      </c>
      <c r="I11">
        <v>9.5644201613535991</v>
      </c>
      <c r="J11">
        <v>221.1846060530001</v>
      </c>
    </row>
    <row r="12" spans="1:14" x14ac:dyDescent="0.2">
      <c r="A12">
        <v>11</v>
      </c>
      <c r="B12" s="1">
        <v>158.75</v>
      </c>
      <c r="C12" s="1">
        <v>9.5</v>
      </c>
      <c r="D12" s="1">
        <v>198.85</v>
      </c>
      <c r="E12">
        <v>0.11595007089385978</v>
      </c>
      <c r="F12">
        <v>8.9118859329194514E-2</v>
      </c>
      <c r="G12">
        <v>0.14261741087192081</v>
      </c>
      <c r="H12">
        <v>174.74991652702505</v>
      </c>
      <c r="I12">
        <v>9.7678488089513031</v>
      </c>
      <c r="J12">
        <v>218.89296708015442</v>
      </c>
    </row>
    <row r="13" spans="1:14" x14ac:dyDescent="0.2">
      <c r="A13">
        <v>12</v>
      </c>
      <c r="B13" s="1">
        <v>151.13</v>
      </c>
      <c r="C13" s="1">
        <v>9.14</v>
      </c>
      <c r="D13" s="1">
        <v>190.42</v>
      </c>
      <c r="E13">
        <v>-4.9190244190771781E-2</v>
      </c>
      <c r="F13">
        <v>-3.8631413140436451E-2</v>
      </c>
      <c r="G13">
        <v>-4.3318612796154309E-2</v>
      </c>
      <c r="H13">
        <v>174.38518888952879</v>
      </c>
      <c r="I13">
        <v>9.9404777685292274</v>
      </c>
      <c r="J13">
        <v>224.04329428735539</v>
      </c>
    </row>
    <row r="14" spans="1:14" x14ac:dyDescent="0.2">
      <c r="A14">
        <v>13</v>
      </c>
      <c r="B14" s="1">
        <v>157.08000000000001</v>
      </c>
      <c r="C14" s="1">
        <v>9.33</v>
      </c>
      <c r="D14" s="1">
        <v>198.15</v>
      </c>
      <c r="E14">
        <v>3.8614836127779731E-2</v>
      </c>
      <c r="F14">
        <v>2.0574629393193728E-2</v>
      </c>
      <c r="G14">
        <v>3.9792160778898779E-2</v>
      </c>
      <c r="H14">
        <v>174.08079113765294</v>
      </c>
      <c r="I14">
        <v>9.8507416994061483</v>
      </c>
      <c r="J14">
        <v>222.64960369905742</v>
      </c>
    </row>
    <row r="15" spans="1:14" x14ac:dyDescent="0.2">
      <c r="A15">
        <v>14</v>
      </c>
      <c r="B15" s="1">
        <v>155.84</v>
      </c>
      <c r="C15" s="1">
        <v>9.7100000000000009</v>
      </c>
      <c r="D15" s="1">
        <v>202.52</v>
      </c>
      <c r="E15">
        <v>-7.9253898155839542E-3</v>
      </c>
      <c r="F15">
        <v>3.9921267443981265E-2</v>
      </c>
      <c r="G15">
        <v>2.1814327465264516E-2</v>
      </c>
      <c r="H15">
        <v>178.29668500310467</v>
      </c>
      <c r="I15">
        <v>10.014177884906969</v>
      </c>
      <c r="J15">
        <v>217.73600893021268</v>
      </c>
    </row>
    <row r="16" spans="1:14" x14ac:dyDescent="0.2">
      <c r="A16">
        <v>15</v>
      </c>
      <c r="B16" s="1">
        <v>157.33000000000001</v>
      </c>
      <c r="C16" s="1">
        <v>9.4499999999999993</v>
      </c>
      <c r="D16" s="1">
        <v>202.14</v>
      </c>
      <c r="E16">
        <v>9.515670358107086E-3</v>
      </c>
      <c r="F16">
        <v>-2.7141540797582308E-2</v>
      </c>
      <c r="G16">
        <v>-1.8781204551920384E-3</v>
      </c>
      <c r="H16">
        <v>184.90627252644097</v>
      </c>
      <c r="I16">
        <v>10.310555179919332</v>
      </c>
      <c r="J16">
        <v>216.36458356739294</v>
      </c>
    </row>
    <row r="17" spans="1:10" x14ac:dyDescent="0.2">
      <c r="A17">
        <v>16</v>
      </c>
      <c r="B17" s="1">
        <v>151.66999999999999</v>
      </c>
      <c r="C17" s="1">
        <v>9.4</v>
      </c>
      <c r="D17" s="1">
        <v>194.27</v>
      </c>
      <c r="E17">
        <v>-3.6638402189026538E-2</v>
      </c>
      <c r="F17">
        <v>-5.3050522296930061E-3</v>
      </c>
      <c r="G17">
        <v>-3.9711582595827098E-2</v>
      </c>
      <c r="H17">
        <v>185.69194161810674</v>
      </c>
      <c r="I17">
        <v>9.8246598828830631</v>
      </c>
      <c r="J17">
        <v>217.49300533187576</v>
      </c>
    </row>
    <row r="18" spans="1:10" x14ac:dyDescent="0.2">
      <c r="A18">
        <v>17</v>
      </c>
      <c r="B18" s="1">
        <v>151.74</v>
      </c>
      <c r="C18" s="1">
        <v>9.6300000000000008</v>
      </c>
      <c r="D18" s="1">
        <v>196.98</v>
      </c>
      <c r="E18">
        <v>4.6142184662340029E-4</v>
      </c>
      <c r="F18">
        <v>2.4173536534075984E-2</v>
      </c>
      <c r="G18">
        <v>1.385325669086682E-2</v>
      </c>
      <c r="H18">
        <v>189.00932284281629</v>
      </c>
      <c r="I18">
        <v>9.9800735318706071</v>
      </c>
      <c r="J18">
        <v>214.99646039874619</v>
      </c>
    </row>
    <row r="19" spans="1:10" x14ac:dyDescent="0.2">
      <c r="A19">
        <v>18</v>
      </c>
      <c r="B19" s="1">
        <v>147.86000000000001</v>
      </c>
      <c r="C19" s="1">
        <v>9.4700000000000006</v>
      </c>
      <c r="D19" s="1">
        <v>193.16</v>
      </c>
      <c r="E19">
        <v>-2.5902649780974805E-2</v>
      </c>
      <c r="F19">
        <v>-1.6754318612047275E-2</v>
      </c>
      <c r="G19">
        <v>-1.9583339736215177E-2</v>
      </c>
      <c r="H19">
        <v>186.38338401250408</v>
      </c>
      <c r="I19">
        <v>10.16526094661878</v>
      </c>
      <c r="J19">
        <v>218.81560847762657</v>
      </c>
    </row>
    <row r="20" spans="1:10" x14ac:dyDescent="0.2">
      <c r="A20">
        <v>19</v>
      </c>
      <c r="B20" s="1">
        <v>151.4</v>
      </c>
      <c r="C20" s="1">
        <v>9.65</v>
      </c>
      <c r="D20" s="1">
        <v>199.74</v>
      </c>
      <c r="E20">
        <v>2.3659460874394259E-2</v>
      </c>
      <c r="F20">
        <v>1.8829008152907559E-2</v>
      </c>
      <c r="G20">
        <v>3.3497659809647508E-2</v>
      </c>
      <c r="H20">
        <v>186.82011739596382</v>
      </c>
      <c r="I20">
        <v>10.22928442491949</v>
      </c>
      <c r="J20">
        <v>221.33403866218652</v>
      </c>
    </row>
    <row r="21" spans="1:10" x14ac:dyDescent="0.2">
      <c r="A21">
        <v>20</v>
      </c>
      <c r="B21" s="1">
        <v>157.81</v>
      </c>
      <c r="C21" s="1">
        <v>9.7799999999999994</v>
      </c>
      <c r="D21" s="1">
        <v>204.6</v>
      </c>
      <c r="E21">
        <v>4.1466436756692905E-2</v>
      </c>
      <c r="F21">
        <v>1.3381568695831368E-2</v>
      </c>
      <c r="G21">
        <v>2.4040332702537383E-2</v>
      </c>
      <c r="H21">
        <v>186.45658554616671</v>
      </c>
      <c r="I21">
        <v>10.717080843071511</v>
      </c>
      <c r="J21">
        <v>226.2386332616978</v>
      </c>
    </row>
    <row r="22" spans="1:10" x14ac:dyDescent="0.2">
      <c r="A22">
        <v>21</v>
      </c>
      <c r="B22" s="1">
        <v>164.18</v>
      </c>
      <c r="C22" s="1">
        <v>10.06</v>
      </c>
      <c r="D22" s="1">
        <v>208.37</v>
      </c>
      <c r="E22">
        <v>3.9571609160078867E-2</v>
      </c>
      <c r="F22">
        <v>2.8227680624867382E-2</v>
      </c>
      <c r="G22">
        <v>1.8258492064582833E-2</v>
      </c>
      <c r="H22">
        <v>189.4076143943222</v>
      </c>
      <c r="I22">
        <v>10.802473392089826</v>
      </c>
      <c r="J22">
        <v>222.8279898766088</v>
      </c>
    </row>
    <row r="23" spans="1:10" x14ac:dyDescent="0.2">
      <c r="A23">
        <v>22</v>
      </c>
      <c r="B23" s="1">
        <v>165.1</v>
      </c>
      <c r="C23" s="1">
        <v>10.039999999999999</v>
      </c>
      <c r="D23" s="1">
        <v>209.28</v>
      </c>
      <c r="E23">
        <v>5.5879640059622177E-3</v>
      </c>
      <c r="F23">
        <v>-1.9900504080101475E-3</v>
      </c>
      <c r="G23">
        <v>4.3577226867250411E-3</v>
      </c>
      <c r="H23">
        <v>182.55449474764976</v>
      </c>
      <c r="I23">
        <v>10.652606280519157</v>
      </c>
      <c r="J23">
        <v>226.01907161908446</v>
      </c>
    </row>
    <row r="24" spans="1:10" x14ac:dyDescent="0.2">
      <c r="A24">
        <v>23</v>
      </c>
      <c r="B24" s="1">
        <v>163.4</v>
      </c>
      <c r="C24" s="1">
        <v>10.02</v>
      </c>
      <c r="D24" s="1">
        <v>210.14</v>
      </c>
      <c r="E24">
        <v>-1.035016850017972E-2</v>
      </c>
      <c r="F24">
        <v>-1.9940186068643953E-3</v>
      </c>
      <c r="G24">
        <v>4.1009069917952523E-3</v>
      </c>
      <c r="H24">
        <v>184.45883648044253</v>
      </c>
      <c r="I24">
        <v>10.737970011946507</v>
      </c>
      <c r="J24">
        <v>229.34638248279813</v>
      </c>
    </row>
    <row r="25" spans="1:10" x14ac:dyDescent="0.2">
      <c r="A25">
        <v>24</v>
      </c>
      <c r="B25" s="1">
        <v>164.48</v>
      </c>
      <c r="C25" s="1">
        <v>10.15</v>
      </c>
      <c r="D25" s="1">
        <v>211.21</v>
      </c>
      <c r="E25">
        <v>6.5877998408977057E-3</v>
      </c>
      <c r="F25">
        <v>1.2890609831077609E-2</v>
      </c>
      <c r="G25">
        <v>5.0789239354215587E-3</v>
      </c>
      <c r="H25">
        <v>180.15860350988706</v>
      </c>
      <c r="I25">
        <v>10.786331171395929</v>
      </c>
      <c r="J25">
        <v>227.88887773152433</v>
      </c>
    </row>
    <row r="26" spans="1:10" x14ac:dyDescent="0.2">
      <c r="A26">
        <v>25</v>
      </c>
      <c r="B26" s="1">
        <v>166.69</v>
      </c>
      <c r="C26" s="1">
        <v>10.01</v>
      </c>
      <c r="D26" s="1">
        <v>212.5</v>
      </c>
      <c r="E26">
        <v>1.3346817688196342E-2</v>
      </c>
      <c r="F26">
        <v>-1.388911216066715E-2</v>
      </c>
      <c r="G26">
        <v>6.0890891684208118E-3</v>
      </c>
      <c r="H26">
        <v>174.25066527102067</v>
      </c>
      <c r="I26">
        <v>10.666033902466154</v>
      </c>
      <c r="J26">
        <v>225.6139076258716</v>
      </c>
    </row>
    <row r="27" spans="1:10" x14ac:dyDescent="0.2">
      <c r="A27">
        <v>26</v>
      </c>
      <c r="B27" s="1">
        <v>172.72</v>
      </c>
      <c r="C27" s="1">
        <v>10.18</v>
      </c>
      <c r="D27" s="1">
        <v>213.32</v>
      </c>
      <c r="E27">
        <v>3.5535986251555393E-2</v>
      </c>
      <c r="F27">
        <v>1.6840417795247448E-2</v>
      </c>
      <c r="G27">
        <v>3.8513973679298731E-3</v>
      </c>
      <c r="H27">
        <v>177.21439197001271</v>
      </c>
      <c r="I27">
        <v>10.818625838397113</v>
      </c>
      <c r="J27">
        <v>219.39336247122858</v>
      </c>
    </row>
    <row r="28" spans="1:10" x14ac:dyDescent="0.2">
      <c r="A28">
        <v>27</v>
      </c>
      <c r="B28" s="1">
        <v>179.28</v>
      </c>
      <c r="C28" s="1">
        <v>10.28</v>
      </c>
      <c r="D28" s="1">
        <v>205.35</v>
      </c>
      <c r="E28">
        <v>3.7277043286119617E-2</v>
      </c>
      <c r="F28">
        <v>9.7752489046422468E-3</v>
      </c>
      <c r="G28">
        <v>-3.8077545329833914E-2</v>
      </c>
      <c r="H28">
        <v>176.82834386895553</v>
      </c>
      <c r="I28">
        <v>10.64909548735069</v>
      </c>
      <c r="J28">
        <v>220.10316385333516</v>
      </c>
    </row>
    <row r="29" spans="1:10" x14ac:dyDescent="0.2">
      <c r="A29">
        <v>28</v>
      </c>
      <c r="B29" s="1">
        <v>176.4</v>
      </c>
      <c r="C29" s="1">
        <v>10.17</v>
      </c>
      <c r="D29" s="1">
        <v>198.89</v>
      </c>
      <c r="E29">
        <v>-1.6194685919980606E-2</v>
      </c>
      <c r="F29">
        <v>-1.0758049966550427E-2</v>
      </c>
      <c r="G29">
        <v>-3.19639323274125E-2</v>
      </c>
      <c r="H29">
        <v>173.72264027973699</v>
      </c>
      <c r="I29">
        <v>10.487275207919716</v>
      </c>
      <c r="J29">
        <v>224.4732469372662</v>
      </c>
    </row>
    <row r="30" spans="1:10" x14ac:dyDescent="0.2">
      <c r="A30">
        <v>29</v>
      </c>
      <c r="B30" s="1">
        <v>172.28</v>
      </c>
      <c r="C30" s="1">
        <v>10.44</v>
      </c>
      <c r="D30" s="1">
        <v>198.51</v>
      </c>
      <c r="E30">
        <v>-2.3633083386781092E-2</v>
      </c>
      <c r="F30">
        <v>2.6202372394024117E-2</v>
      </c>
      <c r="G30">
        <v>-1.9124313830772783E-3</v>
      </c>
      <c r="H30">
        <v>177.0153529723751</v>
      </c>
      <c r="I30">
        <v>10.58258426216403</v>
      </c>
      <c r="J30">
        <v>228.47158035361906</v>
      </c>
    </row>
    <row r="31" spans="1:10" x14ac:dyDescent="0.2">
      <c r="A31">
        <v>30</v>
      </c>
      <c r="B31" s="1">
        <v>174.54</v>
      </c>
      <c r="C31" s="1">
        <v>10.28</v>
      </c>
      <c r="D31" s="1">
        <v>196.25</v>
      </c>
      <c r="E31">
        <v>1.3032881549255334E-2</v>
      </c>
      <c r="F31">
        <v>-1.5444322427473631E-2</v>
      </c>
      <c r="G31">
        <v>-1.1450120029559962E-2</v>
      </c>
      <c r="H31">
        <v>174.83648948584397</v>
      </c>
      <c r="I31">
        <v>10.318370656200317</v>
      </c>
      <c r="J31">
        <v>230.06370113501106</v>
      </c>
    </row>
    <row r="32" spans="1:10" x14ac:dyDescent="0.2">
      <c r="A32">
        <v>31</v>
      </c>
      <c r="B32" s="1">
        <v>175.22</v>
      </c>
      <c r="C32" s="1">
        <v>10.28</v>
      </c>
      <c r="D32" s="1">
        <v>197.49</v>
      </c>
      <c r="E32">
        <v>3.8883855030525999E-3</v>
      </c>
      <c r="F32">
        <v>0</v>
      </c>
      <c r="G32">
        <v>6.298593485377273E-3</v>
      </c>
      <c r="H32">
        <v>167.0923949735043</v>
      </c>
      <c r="I32">
        <v>10.312374785403305</v>
      </c>
      <c r="J32">
        <v>229.72657172833283</v>
      </c>
    </row>
    <row r="33" spans="1:10" x14ac:dyDescent="0.2">
      <c r="A33">
        <v>32</v>
      </c>
      <c r="B33" s="1">
        <v>176.52</v>
      </c>
      <c r="C33" s="1">
        <v>10.43</v>
      </c>
      <c r="D33" s="1">
        <v>198.53</v>
      </c>
      <c r="E33">
        <v>7.3918571631288186E-3</v>
      </c>
      <c r="F33">
        <v>1.4486008985661977E-2</v>
      </c>
      <c r="G33">
        <v>5.2522720610924155E-3</v>
      </c>
      <c r="H33">
        <v>174.00754716150576</v>
      </c>
      <c r="I33">
        <v>10.130139516016728</v>
      </c>
      <c r="J33">
        <v>226.68765193313047</v>
      </c>
    </row>
    <row r="34" spans="1:10" x14ac:dyDescent="0.2">
      <c r="A34">
        <v>33</v>
      </c>
      <c r="B34" s="1">
        <v>186.98</v>
      </c>
      <c r="C34" s="1">
        <v>10.55</v>
      </c>
      <c r="D34" s="1">
        <v>210.79</v>
      </c>
      <c r="E34">
        <v>5.7567474861822981E-2</v>
      </c>
      <c r="F34">
        <v>1.1439590909394596E-2</v>
      </c>
      <c r="G34">
        <v>5.9922155002815725E-2</v>
      </c>
      <c r="H34">
        <v>169.65548568134122</v>
      </c>
      <c r="I34">
        <v>10.178239866469145</v>
      </c>
      <c r="J34">
        <v>230.44966737191214</v>
      </c>
    </row>
    <row r="35" spans="1:10" x14ac:dyDescent="0.2">
      <c r="A35">
        <v>34</v>
      </c>
      <c r="B35" s="1">
        <v>193.99</v>
      </c>
      <c r="C35" s="1">
        <v>10.6</v>
      </c>
      <c r="D35" s="1">
        <v>212.93</v>
      </c>
      <c r="E35">
        <v>3.6804952079845084E-2</v>
      </c>
      <c r="F35">
        <v>4.7281411959458957E-3</v>
      </c>
      <c r="G35">
        <v>1.0101095986503919E-2</v>
      </c>
      <c r="H35">
        <v>176.37040867831945</v>
      </c>
      <c r="I35">
        <v>10.298950593468746</v>
      </c>
      <c r="J35">
        <v>233.86361443784125</v>
      </c>
    </row>
    <row r="36" spans="1:10" x14ac:dyDescent="0.2">
      <c r="A36">
        <v>35</v>
      </c>
      <c r="B36" s="1">
        <v>194.76</v>
      </c>
      <c r="C36" s="1">
        <v>10.65</v>
      </c>
      <c r="D36" s="1">
        <v>212.33</v>
      </c>
      <c r="E36">
        <v>3.9614199714854111E-3</v>
      </c>
      <c r="F36">
        <v>4.7058910374127138E-3</v>
      </c>
      <c r="G36">
        <v>-2.8218050046047607E-3</v>
      </c>
      <c r="H36">
        <v>177.29437349483328</v>
      </c>
      <c r="I36">
        <v>10.378421259605437</v>
      </c>
      <c r="J36">
        <v>236.92294823034337</v>
      </c>
    </row>
    <row r="37" spans="1:10" x14ac:dyDescent="0.2">
      <c r="A37">
        <v>36</v>
      </c>
      <c r="B37" s="1">
        <v>194.22</v>
      </c>
      <c r="C37" s="1">
        <v>10.75</v>
      </c>
      <c r="D37" s="1">
        <v>211.45</v>
      </c>
      <c r="E37">
        <v>-2.7764941482920952E-3</v>
      </c>
      <c r="F37">
        <v>9.345862418237599E-3</v>
      </c>
      <c r="G37">
        <v>-4.1531042752048983E-3</v>
      </c>
      <c r="H37">
        <v>173.30334650734918</v>
      </c>
      <c r="I37">
        <v>10.072508607609844</v>
      </c>
      <c r="J37">
        <v>236.5231256046329</v>
      </c>
    </row>
    <row r="38" spans="1:10" x14ac:dyDescent="0.2">
      <c r="A38">
        <v>37</v>
      </c>
      <c r="B38" s="1">
        <v>194.22</v>
      </c>
      <c r="C38" s="1">
        <v>10.8</v>
      </c>
      <c r="D38" s="1">
        <v>211.26</v>
      </c>
      <c r="E38">
        <v>0</v>
      </c>
      <c r="F38">
        <v>4.6403795565023009E-3</v>
      </c>
      <c r="G38">
        <v>-8.9896152348143657E-4</v>
      </c>
      <c r="H38">
        <v>177.05527841442563</v>
      </c>
      <c r="I38">
        <v>9.8792847369627008</v>
      </c>
      <c r="J38">
        <v>231.3180690042818</v>
      </c>
    </row>
    <row r="39" spans="1:10" x14ac:dyDescent="0.2">
      <c r="A39">
        <v>38</v>
      </c>
      <c r="B39" s="1">
        <v>193.5</v>
      </c>
      <c r="C39" s="1">
        <v>10.75</v>
      </c>
      <c r="D39" s="1">
        <v>208.78</v>
      </c>
      <c r="E39">
        <v>-3.7140246963714815E-3</v>
      </c>
      <c r="F39">
        <v>-4.6403795565022254E-3</v>
      </c>
      <c r="G39">
        <v>-1.1808536414863721E-2</v>
      </c>
      <c r="H39">
        <v>176.04174385689581</v>
      </c>
      <c r="I39">
        <v>9.983891572369247</v>
      </c>
      <c r="J39">
        <v>233.45584162559541</v>
      </c>
    </row>
    <row r="40" spans="1:10" x14ac:dyDescent="0.2">
      <c r="A40">
        <v>39</v>
      </c>
      <c r="B40" s="1">
        <v>193.45</v>
      </c>
      <c r="C40" s="1">
        <v>10.72</v>
      </c>
      <c r="D40" s="1">
        <v>206.86</v>
      </c>
      <c r="E40">
        <v>-2.5843132331455714E-4</v>
      </c>
      <c r="F40">
        <v>-2.7945989310158002E-3</v>
      </c>
      <c r="G40">
        <v>-9.2388300304947473E-3</v>
      </c>
      <c r="H40">
        <v>179.5743605862701</v>
      </c>
      <c r="I40">
        <v>9.716666931303811</v>
      </c>
      <c r="J40">
        <v>230.14136764267735</v>
      </c>
    </row>
    <row r="41" spans="1:10" x14ac:dyDescent="0.2">
      <c r="A41">
        <v>40</v>
      </c>
      <c r="B41" s="1">
        <v>191.76</v>
      </c>
      <c r="C41" s="1">
        <v>10.48</v>
      </c>
      <c r="D41" s="1">
        <v>202.09</v>
      </c>
      <c r="E41">
        <v>-8.7744910203930784E-3</v>
      </c>
      <c r="F41">
        <v>-2.2642476749759891E-2</v>
      </c>
      <c r="G41">
        <v>-2.3329093219500632E-2</v>
      </c>
      <c r="H41">
        <v>180.76255486697664</v>
      </c>
      <c r="I41">
        <v>9.4101549494166665</v>
      </c>
      <c r="J41">
        <v>238.14303618366705</v>
      </c>
    </row>
    <row r="42" spans="1:10" x14ac:dyDescent="0.2">
      <c r="A42">
        <v>41</v>
      </c>
      <c r="B42" s="1">
        <v>196.19</v>
      </c>
      <c r="C42" s="1">
        <v>10.44</v>
      </c>
      <c r="D42" s="1">
        <v>201.36</v>
      </c>
      <c r="E42">
        <v>2.2838987306608521E-2</v>
      </c>
      <c r="F42">
        <v>-3.8240964384035057E-3</v>
      </c>
      <c r="G42">
        <v>-3.6187919030965495E-3</v>
      </c>
      <c r="H42">
        <v>189.77962439108998</v>
      </c>
      <c r="I42">
        <v>9.5088132384046098</v>
      </c>
      <c r="J42">
        <v>242.51604116732241</v>
      </c>
    </row>
    <row r="43" spans="1:10" x14ac:dyDescent="0.2">
      <c r="A43">
        <v>42</v>
      </c>
      <c r="B43" s="1">
        <v>191.98</v>
      </c>
      <c r="C43" s="1">
        <v>10.36</v>
      </c>
      <c r="D43" s="1">
        <v>195.27</v>
      </c>
      <c r="E43">
        <v>-2.1692377497346631E-2</v>
      </c>
      <c r="F43">
        <v>-7.6923456231556137E-3</v>
      </c>
      <c r="G43">
        <v>-3.0711134574654807E-2</v>
      </c>
      <c r="H43">
        <v>198.69187952177762</v>
      </c>
      <c r="I43">
        <v>9.6122991406697746</v>
      </c>
      <c r="J43">
        <v>240.81133931998136</v>
      </c>
    </row>
    <row r="44" spans="1:10" x14ac:dyDescent="0.2">
      <c r="A44">
        <v>43</v>
      </c>
      <c r="B44" s="1">
        <v>197.68</v>
      </c>
      <c r="C44" s="1">
        <v>10.31</v>
      </c>
      <c r="D44" s="1">
        <v>200.21</v>
      </c>
      <c r="E44">
        <v>2.9258361744963893E-2</v>
      </c>
      <c r="F44">
        <v>-4.8379388024683773E-3</v>
      </c>
      <c r="G44">
        <v>2.4983599431202347E-2</v>
      </c>
      <c r="H44">
        <v>200.59524669858817</v>
      </c>
      <c r="I44">
        <v>9.6422873613173046</v>
      </c>
      <c r="J44">
        <v>241.96560878479889</v>
      </c>
    </row>
    <row r="45" spans="1:10" x14ac:dyDescent="0.2">
      <c r="A45">
        <v>44</v>
      </c>
      <c r="B45" s="1">
        <v>196.14</v>
      </c>
      <c r="C45" s="1">
        <v>10.17</v>
      </c>
      <c r="D45" s="1">
        <v>200.42</v>
      </c>
      <c r="E45">
        <v>-7.8208717161804935E-3</v>
      </c>
      <c r="F45">
        <v>-1.3672087968400063E-2</v>
      </c>
      <c r="G45">
        <v>1.0483489465745394E-3</v>
      </c>
      <c r="H45">
        <v>199.57386391114377</v>
      </c>
      <c r="I45">
        <v>10.144791727757655</v>
      </c>
      <c r="J45">
        <v>243.43650420545717</v>
      </c>
    </row>
    <row r="46" spans="1:10" x14ac:dyDescent="0.2">
      <c r="A46">
        <v>45</v>
      </c>
      <c r="B46" s="1">
        <v>197.15</v>
      </c>
      <c r="C46" s="1">
        <v>10.220000000000001</v>
      </c>
      <c r="D46" s="1">
        <v>199.95</v>
      </c>
      <c r="E46">
        <v>5.1361703594619635E-3</v>
      </c>
      <c r="F46">
        <v>4.9043747150898983E-3</v>
      </c>
      <c r="G46">
        <v>-2.3478293373554809E-3</v>
      </c>
      <c r="H46">
        <v>200.47148495340133</v>
      </c>
      <c r="I46">
        <v>10.164662510968551</v>
      </c>
      <c r="J46">
        <v>244.72978356576613</v>
      </c>
    </row>
    <row r="47" spans="1:10" x14ac:dyDescent="0.2">
      <c r="A47">
        <v>46</v>
      </c>
      <c r="B47" s="1">
        <v>193.32</v>
      </c>
      <c r="C47" s="1">
        <v>10.38</v>
      </c>
      <c r="D47" s="1">
        <v>200.85</v>
      </c>
      <c r="E47">
        <v>-1.9618013346752925E-2</v>
      </c>
      <c r="F47">
        <v>1.5534292962184204E-2</v>
      </c>
      <c r="G47">
        <v>4.4910255124638023E-3</v>
      </c>
      <c r="H47">
        <v>193.20433379190746</v>
      </c>
      <c r="I47">
        <v>9.8740558845305006</v>
      </c>
      <c r="J47">
        <v>241.07819251327533</v>
      </c>
    </row>
    <row r="48" spans="1:10" x14ac:dyDescent="0.2">
      <c r="A48">
        <v>47</v>
      </c>
      <c r="B48" s="1">
        <v>194.84</v>
      </c>
      <c r="C48" s="1">
        <v>9.98</v>
      </c>
      <c r="D48" s="1">
        <v>201.7</v>
      </c>
      <c r="E48">
        <v>7.8318619614586183E-3</v>
      </c>
      <c r="F48">
        <v>-3.929778741436999E-2</v>
      </c>
      <c r="G48">
        <v>4.2230841548747573E-3</v>
      </c>
      <c r="H48">
        <v>194.20218430901372</v>
      </c>
      <c r="I48">
        <v>10.00813864793516</v>
      </c>
      <c r="J48">
        <v>236.05254821015214</v>
      </c>
    </row>
    <row r="49" spans="1:10" x14ac:dyDescent="0.2">
      <c r="A49">
        <v>48</v>
      </c>
      <c r="B49" s="1">
        <v>197.61</v>
      </c>
      <c r="C49" s="1">
        <v>10.19</v>
      </c>
      <c r="D49" s="1">
        <v>203.27</v>
      </c>
      <c r="E49">
        <v>1.4116682382369381E-2</v>
      </c>
      <c r="F49">
        <v>2.0823756911260698E-2</v>
      </c>
      <c r="G49">
        <v>7.7536996107045722E-3</v>
      </c>
      <c r="H49">
        <v>195.5326569663724</v>
      </c>
      <c r="I49">
        <v>10.01617406321777</v>
      </c>
      <c r="J49">
        <v>234.95219216413412</v>
      </c>
    </row>
    <row r="50" spans="1:10" x14ac:dyDescent="0.2">
      <c r="A50">
        <v>49</v>
      </c>
      <c r="B50" s="1">
        <v>202.4</v>
      </c>
      <c r="C50" s="1">
        <v>10.24</v>
      </c>
      <c r="D50" s="1">
        <v>202.82</v>
      </c>
      <c r="E50">
        <v>2.3950546092599133E-2</v>
      </c>
      <c r="F50">
        <v>4.8947723767284275E-3</v>
      </c>
      <c r="G50">
        <v>-2.2162583870203399E-3</v>
      </c>
      <c r="H50">
        <v>190.93987462093108</v>
      </c>
      <c r="I50">
        <v>10.234437566032312</v>
      </c>
      <c r="J50">
        <v>226.0939563631147</v>
      </c>
    </row>
    <row r="51" spans="1:10" x14ac:dyDescent="0.2">
      <c r="A51">
        <v>50</v>
      </c>
      <c r="B51" s="1">
        <v>203.34</v>
      </c>
      <c r="C51" s="1">
        <v>10.1</v>
      </c>
      <c r="D51" s="1">
        <v>200.63</v>
      </c>
      <c r="E51">
        <v>4.6335174337044076E-3</v>
      </c>
      <c r="F51">
        <v>-1.3766195764147959E-2</v>
      </c>
      <c r="G51">
        <v>-1.085647049174078E-2</v>
      </c>
      <c r="H51">
        <v>202.71309984579634</v>
      </c>
      <c r="I51">
        <v>10.393503394240117</v>
      </c>
      <c r="J51">
        <v>224.4367160746703</v>
      </c>
    </row>
    <row r="52" spans="1:10" x14ac:dyDescent="0.2">
      <c r="A52">
        <v>51</v>
      </c>
      <c r="B52" s="1">
        <v>205.18</v>
      </c>
      <c r="C52" s="1">
        <v>10.26</v>
      </c>
      <c r="D52" s="1">
        <v>203.92</v>
      </c>
      <c r="E52">
        <v>9.0081878125517333E-3</v>
      </c>
      <c r="F52">
        <v>1.5717415895409724E-2</v>
      </c>
      <c r="G52">
        <v>1.6265344375750522E-2</v>
      </c>
      <c r="H52">
        <v>204.75646459507797</v>
      </c>
      <c r="I52">
        <v>10.392350726773932</v>
      </c>
      <c r="J52">
        <v>221.28185933134264</v>
      </c>
    </row>
    <row r="53" spans="1:10" x14ac:dyDescent="0.2">
      <c r="A53">
        <v>52</v>
      </c>
      <c r="B53" s="1">
        <v>207</v>
      </c>
      <c r="C53" s="1">
        <v>10.34</v>
      </c>
      <c r="D53" s="1">
        <v>201.45</v>
      </c>
      <c r="E53">
        <v>8.8311506058023573E-3</v>
      </c>
      <c r="F53">
        <v>7.7670293376595964E-3</v>
      </c>
      <c r="G53">
        <v>-1.2186548430503737E-2</v>
      </c>
      <c r="H53">
        <v>203.35316321838502</v>
      </c>
      <c r="I53">
        <v>10.574857004627612</v>
      </c>
      <c r="J53">
        <v>219.28278995941017</v>
      </c>
    </row>
    <row r="54" spans="1:10" x14ac:dyDescent="0.2">
      <c r="A54">
        <v>53</v>
      </c>
      <c r="B54" s="1">
        <v>212.46</v>
      </c>
      <c r="C54" s="1">
        <v>10.6</v>
      </c>
      <c r="D54" s="1">
        <v>202.67</v>
      </c>
      <c r="E54">
        <v>2.6034942086498303E-2</v>
      </c>
      <c r="F54">
        <v>2.4834132037738394E-2</v>
      </c>
      <c r="G54">
        <v>6.0378288938655912E-3</v>
      </c>
      <c r="H54">
        <v>199.12393346424273</v>
      </c>
      <c r="I54">
        <v>10.423238973478764</v>
      </c>
      <c r="J54">
        <v>224.7195954495009</v>
      </c>
    </row>
    <row r="55" spans="1:10" x14ac:dyDescent="0.2">
      <c r="A55">
        <v>54</v>
      </c>
      <c r="B55" s="1">
        <v>214.1</v>
      </c>
      <c r="C55" s="1">
        <v>10.66</v>
      </c>
      <c r="D55" s="1">
        <v>198.78</v>
      </c>
      <c r="E55">
        <v>7.6894602437697027E-3</v>
      </c>
      <c r="F55">
        <v>5.6444176196771313E-3</v>
      </c>
      <c r="G55">
        <v>-1.9380354991362321E-2</v>
      </c>
      <c r="H55">
        <v>203.18176050474338</v>
      </c>
      <c r="I55">
        <v>10.25619281600774</v>
      </c>
      <c r="J55">
        <v>226.6124247891378</v>
      </c>
    </row>
    <row r="56" spans="1:10" x14ac:dyDescent="0.2">
      <c r="A56">
        <v>55</v>
      </c>
      <c r="B56" s="1">
        <v>215.43</v>
      </c>
      <c r="C56" s="1">
        <v>10.53</v>
      </c>
      <c r="D56" s="1">
        <v>199.2</v>
      </c>
      <c r="E56">
        <v>6.1928351946988281E-3</v>
      </c>
      <c r="F56">
        <v>-1.227009259181447E-2</v>
      </c>
      <c r="G56">
        <v>2.1106596106382439E-3</v>
      </c>
      <c r="H56">
        <v>198.51621509395025</v>
      </c>
      <c r="I56">
        <v>10.246329661490041</v>
      </c>
      <c r="J56">
        <v>219.26397255022451</v>
      </c>
    </row>
    <row r="57" spans="1:10" x14ac:dyDescent="0.2">
      <c r="A57">
        <v>56</v>
      </c>
      <c r="B57" s="1">
        <v>211.1</v>
      </c>
      <c r="C57" s="1">
        <v>10.43</v>
      </c>
      <c r="D57" s="1">
        <v>196.45</v>
      </c>
      <c r="E57">
        <v>-2.0304075936061042E-2</v>
      </c>
      <c r="F57">
        <v>-9.5420571332030472E-3</v>
      </c>
      <c r="G57">
        <v>-1.3901399146029038E-2</v>
      </c>
      <c r="H57">
        <v>197.07331064645734</v>
      </c>
      <c r="I57">
        <v>10.311144375704766</v>
      </c>
      <c r="J57">
        <v>218.80686025409429</v>
      </c>
    </row>
    <row r="58" spans="1:10" x14ac:dyDescent="0.2">
      <c r="A58">
        <v>57</v>
      </c>
      <c r="B58" s="1">
        <v>215.68</v>
      </c>
      <c r="C58" s="1">
        <v>10.62</v>
      </c>
      <c r="D58" s="1">
        <v>198.42</v>
      </c>
      <c r="E58">
        <v>2.1463872869667316E-2</v>
      </c>
      <c r="F58">
        <v>1.8052746801111748E-2</v>
      </c>
      <c r="G58">
        <v>9.9780502172876224E-3</v>
      </c>
      <c r="H58">
        <v>200.26180665532181</v>
      </c>
      <c r="I58">
        <v>9.9935526079662829</v>
      </c>
      <c r="J58">
        <v>211.31686633020806</v>
      </c>
    </row>
    <row r="59" spans="1:10" x14ac:dyDescent="0.2">
      <c r="A59">
        <v>58</v>
      </c>
      <c r="B59" s="1">
        <v>213.9</v>
      </c>
      <c r="C59" s="1">
        <v>10.42</v>
      </c>
      <c r="D59" s="1">
        <v>195.64</v>
      </c>
      <c r="E59">
        <v>-8.2872116355822804E-3</v>
      </c>
      <c r="F59">
        <v>-1.901197948857189E-2</v>
      </c>
      <c r="G59">
        <v>-1.4109760550600002E-2</v>
      </c>
      <c r="H59">
        <v>202.50391062943663</v>
      </c>
      <c r="I59">
        <v>9.8407671061119402</v>
      </c>
      <c r="J59">
        <v>215.73162399453224</v>
      </c>
    </row>
    <row r="60" spans="1:10" x14ac:dyDescent="0.2">
      <c r="A60">
        <v>59</v>
      </c>
      <c r="B60" s="1">
        <v>213.5</v>
      </c>
      <c r="C60" s="1">
        <v>10.43</v>
      </c>
      <c r="D60" s="1">
        <v>196.58</v>
      </c>
      <c r="E60">
        <v>-1.8717834196807367E-3</v>
      </c>
      <c r="F60">
        <v>9.5923268746013425E-4</v>
      </c>
      <c r="G60">
        <v>4.7932374673270439E-3</v>
      </c>
      <c r="H60">
        <v>197.17690363116515</v>
      </c>
      <c r="I60">
        <v>9.8563805611423412</v>
      </c>
      <c r="J60">
        <v>218.74450910585108</v>
      </c>
    </row>
    <row r="61" spans="1:10" x14ac:dyDescent="0.2">
      <c r="A61">
        <v>60</v>
      </c>
      <c r="B61" s="1">
        <v>209.51</v>
      </c>
      <c r="C61" s="1">
        <v>10.59</v>
      </c>
      <c r="D61" s="1">
        <v>201</v>
      </c>
      <c r="E61">
        <v>-1.8865361748758455E-2</v>
      </c>
      <c r="F61">
        <v>1.5223890600634022E-2</v>
      </c>
      <c r="G61">
        <v>2.2235434920592347E-2</v>
      </c>
      <c r="H61">
        <v>197.70968056618608</v>
      </c>
      <c r="I61">
        <v>9.7240707125570633</v>
      </c>
      <c r="J61">
        <v>218.5448940250491</v>
      </c>
    </row>
    <row r="62" spans="1:10" x14ac:dyDescent="0.2">
      <c r="A62">
        <v>61</v>
      </c>
      <c r="B62" s="1">
        <v>210.32</v>
      </c>
      <c r="C62" s="1">
        <v>10.75</v>
      </c>
      <c r="D62" s="1">
        <v>201.5</v>
      </c>
      <c r="E62">
        <v>3.858709501704824E-3</v>
      </c>
      <c r="F62">
        <v>1.4995594960356831E-2</v>
      </c>
      <c r="G62">
        <v>2.4844733276619658E-3</v>
      </c>
      <c r="H62">
        <v>194.56935230495512</v>
      </c>
      <c r="I62">
        <v>9.834870610483831</v>
      </c>
      <c r="J62">
        <v>219.48465156236696</v>
      </c>
    </row>
    <row r="63" spans="1:10" x14ac:dyDescent="0.2">
      <c r="A63">
        <v>62</v>
      </c>
      <c r="B63" s="1">
        <v>220.09</v>
      </c>
      <c r="C63" s="1">
        <v>10.73</v>
      </c>
      <c r="D63" s="1">
        <v>200.3</v>
      </c>
      <c r="E63">
        <v>4.5406373184954864E-2</v>
      </c>
      <c r="F63">
        <v>-1.8621979310646511E-3</v>
      </c>
      <c r="G63">
        <v>-5.9731387149650926E-3</v>
      </c>
      <c r="H63">
        <v>197.20388385307604</v>
      </c>
      <c r="I63">
        <v>9.9529853897919391</v>
      </c>
      <c r="J63">
        <v>215.13798281531993</v>
      </c>
    </row>
    <row r="64" spans="1:10" x14ac:dyDescent="0.2">
      <c r="A64">
        <v>63</v>
      </c>
      <c r="B64" s="1">
        <v>222.74</v>
      </c>
      <c r="C64" s="1">
        <v>10.48</v>
      </c>
      <c r="D64" s="1">
        <v>201.56</v>
      </c>
      <c r="E64">
        <v>1.1968618358373427E-2</v>
      </c>
      <c r="F64">
        <v>-2.3574877749710996E-2</v>
      </c>
      <c r="G64">
        <v>6.2708611406248112E-3</v>
      </c>
      <c r="H64">
        <v>192.72852321239603</v>
      </c>
      <c r="I64">
        <v>9.9353151433129074</v>
      </c>
      <c r="J64">
        <v>204.77596239294684</v>
      </c>
    </row>
    <row r="65" spans="1:10" x14ac:dyDescent="0.2">
      <c r="A65">
        <v>64</v>
      </c>
      <c r="B65" s="1">
        <v>224.01</v>
      </c>
      <c r="C65" s="1">
        <v>10.63</v>
      </c>
      <c r="D65" s="1">
        <v>201</v>
      </c>
      <c r="E65">
        <v>5.6855217507659163E-3</v>
      </c>
      <c r="F65">
        <v>1.4211513460960548E-2</v>
      </c>
      <c r="G65">
        <v>-2.782195753321553E-3</v>
      </c>
      <c r="H65">
        <v>190.83792233699378</v>
      </c>
      <c r="I65">
        <v>9.9402034543345028</v>
      </c>
      <c r="J65">
        <v>210.75382875678449</v>
      </c>
    </row>
    <row r="66" spans="1:10" x14ac:dyDescent="0.2">
      <c r="A66">
        <v>65</v>
      </c>
      <c r="B66" s="1">
        <v>228.57</v>
      </c>
      <c r="C66" s="1">
        <v>10.8</v>
      </c>
      <c r="D66" s="1">
        <v>201.08</v>
      </c>
      <c r="E66">
        <v>2.0151815437307912E-2</v>
      </c>
      <c r="F66">
        <v>1.5865941776317376E-2</v>
      </c>
      <c r="G66">
        <v>3.9793076529873232E-4</v>
      </c>
      <c r="H66">
        <v>189.8711096477451</v>
      </c>
      <c r="I66">
        <v>9.9979433721249062</v>
      </c>
      <c r="J66">
        <v>210.56664887413987</v>
      </c>
    </row>
    <row r="67" spans="1:10" x14ac:dyDescent="0.2">
      <c r="A67">
        <v>66</v>
      </c>
      <c r="B67" s="1">
        <v>226.49</v>
      </c>
      <c r="C67" s="1">
        <v>10.85</v>
      </c>
      <c r="D67" s="1">
        <v>205.17</v>
      </c>
      <c r="E67">
        <v>-9.1417153149592964E-3</v>
      </c>
      <c r="F67">
        <v>4.6189458562944583E-3</v>
      </c>
      <c r="G67">
        <v>2.0136064953739752E-2</v>
      </c>
      <c r="H67">
        <v>189.6439969307585</v>
      </c>
      <c r="I67">
        <v>9.8150058361251435</v>
      </c>
      <c r="J67">
        <v>204.6205062552049</v>
      </c>
    </row>
    <row r="68" spans="1:10" x14ac:dyDescent="0.2">
      <c r="A68">
        <v>67</v>
      </c>
      <c r="B68" s="1">
        <v>224.68</v>
      </c>
      <c r="C68" s="1">
        <v>11.35</v>
      </c>
      <c r="D68" s="1">
        <v>207.82</v>
      </c>
      <c r="E68">
        <v>-8.0236261738366767E-3</v>
      </c>
      <c r="F68">
        <v>4.5052663940943143E-2</v>
      </c>
      <c r="G68">
        <v>1.2833416646386379E-2</v>
      </c>
      <c r="H68">
        <v>196.73352089346454</v>
      </c>
      <c r="I68">
        <v>10.206171828106685</v>
      </c>
      <c r="J68">
        <v>205.93641308544068</v>
      </c>
    </row>
    <row r="69" spans="1:10" x14ac:dyDescent="0.2">
      <c r="A69">
        <v>68</v>
      </c>
      <c r="B69" s="1">
        <v>233.6</v>
      </c>
      <c r="C69" s="1">
        <v>11.77</v>
      </c>
      <c r="D69" s="1">
        <v>212.44</v>
      </c>
      <c r="E69">
        <v>3.8933083289839979E-2</v>
      </c>
      <c r="F69">
        <v>3.6336177344773686E-2</v>
      </c>
      <c r="G69">
        <v>2.1987275129697868E-2</v>
      </c>
      <c r="H69">
        <v>200.30650165684784</v>
      </c>
      <c r="I69">
        <v>10.266584066845754</v>
      </c>
      <c r="J69">
        <v>202.08027472991145</v>
      </c>
    </row>
    <row r="70" spans="1:10" x14ac:dyDescent="0.2">
      <c r="A70">
        <v>69</v>
      </c>
      <c r="B70" s="1">
        <v>234.8</v>
      </c>
      <c r="C70" s="1">
        <v>11.81</v>
      </c>
      <c r="D70" s="1">
        <v>213.55</v>
      </c>
      <c r="E70">
        <v>5.1238369998694664E-3</v>
      </c>
      <c r="F70">
        <v>3.3927089370857089E-3</v>
      </c>
      <c r="G70">
        <v>5.2114017332771934E-3</v>
      </c>
      <c r="H70">
        <v>194.81272682187017</v>
      </c>
      <c r="I70">
        <v>10.198341196258509</v>
      </c>
      <c r="J70">
        <v>201.05232110669252</v>
      </c>
    </row>
    <row r="71" spans="1:10" x14ac:dyDescent="0.2">
      <c r="A71">
        <v>70</v>
      </c>
      <c r="B71" s="1">
        <v>229.17</v>
      </c>
      <c r="C71" s="1">
        <v>11.59</v>
      </c>
      <c r="D71" s="1">
        <v>209.95</v>
      </c>
      <c r="E71">
        <v>-2.427000173256352E-2</v>
      </c>
      <c r="F71">
        <v>-1.8803972857610606E-2</v>
      </c>
      <c r="G71">
        <v>-1.7001590157273334E-2</v>
      </c>
      <c r="H71">
        <v>201.78390104170111</v>
      </c>
      <c r="I71">
        <v>9.8568960145350992</v>
      </c>
      <c r="J71">
        <v>200.76803875518451</v>
      </c>
    </row>
    <row r="72" spans="1:10" x14ac:dyDescent="0.2">
      <c r="A72">
        <v>71</v>
      </c>
      <c r="B72" s="1">
        <v>227.86</v>
      </c>
      <c r="C72" s="1">
        <v>11.68</v>
      </c>
      <c r="D72" s="1">
        <v>210.01</v>
      </c>
      <c r="E72">
        <v>-5.7326809514081974E-3</v>
      </c>
      <c r="F72">
        <v>7.7353200484207366E-3</v>
      </c>
      <c r="G72">
        <v>2.8574150113462317E-4</v>
      </c>
      <c r="H72">
        <v>198.62321095381353</v>
      </c>
      <c r="I72">
        <v>10.062533409102139</v>
      </c>
      <c r="J72">
        <v>201.07394961394749</v>
      </c>
    </row>
    <row r="73" spans="1:10" x14ac:dyDescent="0.2">
      <c r="A73">
        <v>72</v>
      </c>
      <c r="B73" s="1">
        <v>231.84</v>
      </c>
      <c r="C73" s="1">
        <v>11.83</v>
      </c>
      <c r="D73" s="1">
        <v>211.14</v>
      </c>
      <c r="E73">
        <v>1.7316073302402493E-2</v>
      </c>
      <c r="F73">
        <v>1.2760700590214488E-2</v>
      </c>
      <c r="G73">
        <v>5.3662719302117997E-3</v>
      </c>
      <c r="H73">
        <v>199.57411847847257</v>
      </c>
      <c r="I73">
        <v>9.7863403230186918</v>
      </c>
      <c r="J73">
        <v>203.62282949061654</v>
      </c>
    </row>
    <row r="74" spans="1:10" x14ac:dyDescent="0.2">
      <c r="A74">
        <v>73</v>
      </c>
      <c r="B74" s="1">
        <v>229.76</v>
      </c>
      <c r="C74" s="1">
        <v>11.91</v>
      </c>
      <c r="D74" s="1">
        <v>212.41</v>
      </c>
      <c r="E74">
        <v>-9.0121927125129918E-3</v>
      </c>
      <c r="F74">
        <v>6.7397053769132353E-3</v>
      </c>
      <c r="G74">
        <v>5.9969486772448706E-3</v>
      </c>
      <c r="H74">
        <v>201.54122672194538</v>
      </c>
      <c r="I74">
        <v>9.7919379362367653</v>
      </c>
      <c r="J74">
        <v>204.40487289649607</v>
      </c>
    </row>
    <row r="75" spans="1:10" x14ac:dyDescent="0.2">
      <c r="A75">
        <v>74</v>
      </c>
      <c r="B75" s="1">
        <v>230.4</v>
      </c>
      <c r="C75" s="1">
        <v>11.78</v>
      </c>
      <c r="D75" s="1">
        <v>211.16</v>
      </c>
      <c r="E75">
        <v>2.7816429618767705E-3</v>
      </c>
      <c r="F75">
        <v>-1.0975205143768135E-2</v>
      </c>
      <c r="G75">
        <v>-5.902229283378157E-3</v>
      </c>
      <c r="H75">
        <v>198.88204884876492</v>
      </c>
      <c r="I75">
        <v>9.6376085880474811</v>
      </c>
      <c r="J75">
        <v>199.7251036581109</v>
      </c>
    </row>
    <row r="76" spans="1:10" x14ac:dyDescent="0.2">
      <c r="A76">
        <v>75</v>
      </c>
      <c r="B76" s="1">
        <v>228.67</v>
      </c>
      <c r="C76" s="1">
        <v>11.88</v>
      </c>
      <c r="D76" s="1">
        <v>208.62</v>
      </c>
      <c r="E76">
        <v>-7.5370126107327283E-3</v>
      </c>
      <c r="F76">
        <v>8.4531357110584106E-3</v>
      </c>
      <c r="G76">
        <v>-1.210172470759039E-2</v>
      </c>
      <c r="H76">
        <v>190.08951601017708</v>
      </c>
      <c r="I76">
        <v>9.935771386603351</v>
      </c>
      <c r="J76">
        <v>194.24334765710299</v>
      </c>
    </row>
    <row r="77" spans="1:10" x14ac:dyDescent="0.2">
      <c r="A77">
        <v>76</v>
      </c>
      <c r="B77" s="1">
        <v>236.95</v>
      </c>
      <c r="C77" s="1">
        <v>11.57</v>
      </c>
      <c r="D77" s="1">
        <v>209.11</v>
      </c>
      <c r="E77">
        <v>3.5569232202593719E-2</v>
      </c>
      <c r="F77">
        <v>-2.644077272891374E-2</v>
      </c>
      <c r="G77">
        <v>2.3460140508832585E-3</v>
      </c>
      <c r="H77">
        <v>184.41479898033276</v>
      </c>
      <c r="I77">
        <v>9.8689317335654483</v>
      </c>
      <c r="J77">
        <v>192.57689839013102</v>
      </c>
    </row>
    <row r="78" spans="1:10" x14ac:dyDescent="0.2">
      <c r="A78">
        <v>77</v>
      </c>
      <c r="B78" s="1">
        <v>237.56</v>
      </c>
      <c r="C78" s="1">
        <v>11.24</v>
      </c>
      <c r="D78" s="1">
        <v>210.16</v>
      </c>
      <c r="E78">
        <v>2.571074734062183E-3</v>
      </c>
      <c r="F78">
        <v>-2.8936696740040211E-2</v>
      </c>
      <c r="G78">
        <v>5.0087160785759338E-3</v>
      </c>
      <c r="H78">
        <v>183.46106695964949</v>
      </c>
      <c r="I78">
        <v>9.8530521993518629</v>
      </c>
      <c r="J78">
        <v>192.85290829652001</v>
      </c>
    </row>
    <row r="79" spans="1:10" x14ac:dyDescent="0.2">
      <c r="A79">
        <v>78</v>
      </c>
      <c r="B79" s="1">
        <v>245.6</v>
      </c>
      <c r="C79" s="1">
        <v>11.15</v>
      </c>
      <c r="D79" s="1">
        <v>210.02</v>
      </c>
      <c r="E79">
        <v>3.3283973125327972E-2</v>
      </c>
      <c r="F79">
        <v>-8.0393465594172531E-3</v>
      </c>
      <c r="G79">
        <v>-6.6638109943707117E-4</v>
      </c>
      <c r="H79">
        <v>182.29806664770345</v>
      </c>
      <c r="I79">
        <v>9.7054485220524747</v>
      </c>
      <c r="J79">
        <v>192.85554833985717</v>
      </c>
    </row>
    <row r="80" spans="1:10" x14ac:dyDescent="0.2">
      <c r="A80">
        <v>79</v>
      </c>
      <c r="B80" s="1">
        <v>240.4</v>
      </c>
      <c r="C80" s="1">
        <v>11.16</v>
      </c>
      <c r="D80" s="1">
        <v>211.18</v>
      </c>
      <c r="E80">
        <v>-2.1399993611934894E-2</v>
      </c>
      <c r="F80">
        <v>8.9645904703720568E-4</v>
      </c>
      <c r="G80">
        <v>5.5080861005209316E-3</v>
      </c>
      <c r="H80">
        <v>179.75663767386121</v>
      </c>
      <c r="I80">
        <v>9.7190952137237563</v>
      </c>
      <c r="J80">
        <v>190.90507300631012</v>
      </c>
    </row>
    <row r="81" spans="1:10" x14ac:dyDescent="0.2">
      <c r="A81">
        <v>80</v>
      </c>
      <c r="B81" s="1">
        <v>238.85</v>
      </c>
      <c r="C81" s="1">
        <v>11.31</v>
      </c>
      <c r="D81" s="1">
        <v>212.48</v>
      </c>
      <c r="E81">
        <v>-6.4684628250816561E-3</v>
      </c>
      <c r="F81">
        <v>1.3351333174864196E-2</v>
      </c>
      <c r="G81">
        <v>6.1370159097006195E-3</v>
      </c>
      <c r="H81">
        <v>173.84315157424086</v>
      </c>
      <c r="I81">
        <v>9.4606816976671926</v>
      </c>
      <c r="J81">
        <v>190.97774517879631</v>
      </c>
    </row>
    <row r="82" spans="1:10" x14ac:dyDescent="0.2">
      <c r="A82">
        <v>81</v>
      </c>
      <c r="B82" s="1">
        <v>234.6</v>
      </c>
      <c r="C82" s="1">
        <v>11.19</v>
      </c>
      <c r="D82" s="1">
        <v>214.4</v>
      </c>
      <c r="E82">
        <v>-1.795380361659582E-2</v>
      </c>
      <c r="F82">
        <v>-1.0666767804195303E-2</v>
      </c>
      <c r="G82">
        <v>8.9955629085780031E-3</v>
      </c>
      <c r="H82">
        <v>176.03201414905752</v>
      </c>
      <c r="I82">
        <v>9.4845512080659695</v>
      </c>
      <c r="J82">
        <v>189.9684686367477</v>
      </c>
    </row>
    <row r="83" spans="1:10" x14ac:dyDescent="0.2">
      <c r="A83">
        <v>82</v>
      </c>
      <c r="B83" s="1">
        <v>240.33</v>
      </c>
      <c r="C83" s="1">
        <v>11.38</v>
      </c>
      <c r="D83" s="1">
        <v>214.15</v>
      </c>
      <c r="E83">
        <v>2.4131042675760089E-2</v>
      </c>
      <c r="F83">
        <v>1.6836906374351153E-2</v>
      </c>
      <c r="G83">
        <v>-1.1667251352669031E-3</v>
      </c>
      <c r="H83">
        <v>177.0698000282635</v>
      </c>
      <c r="I83">
        <v>9.5251102492598729</v>
      </c>
      <c r="J83">
        <v>190.97598849856158</v>
      </c>
    </row>
    <row r="84" spans="1:10" x14ac:dyDescent="0.2">
      <c r="A84">
        <v>83</v>
      </c>
      <c r="B84" s="1">
        <v>241.6</v>
      </c>
      <c r="C84" s="1">
        <v>11.26</v>
      </c>
      <c r="D84" s="1">
        <v>213.76</v>
      </c>
      <c r="E84">
        <v>5.2704871655247579E-3</v>
      </c>
      <c r="F84">
        <v>-1.0600805986640574E-2</v>
      </c>
      <c r="G84">
        <v>-1.8228137130991598E-3</v>
      </c>
      <c r="H84">
        <v>169.7968929079114</v>
      </c>
      <c r="I84">
        <v>9.401330115986589</v>
      </c>
      <c r="J84">
        <v>188.38596778117622</v>
      </c>
    </row>
    <row r="85" spans="1:10" x14ac:dyDescent="0.2">
      <c r="A85">
        <v>84</v>
      </c>
      <c r="B85" s="1">
        <v>245.6</v>
      </c>
      <c r="C85" s="1">
        <v>11.47</v>
      </c>
      <c r="D85" s="1">
        <v>213.88</v>
      </c>
      <c r="E85">
        <v>1.642073021232749E-2</v>
      </c>
      <c r="F85">
        <v>1.8478308429735069E-2</v>
      </c>
      <c r="G85">
        <v>5.6121973225001546E-4</v>
      </c>
      <c r="H85">
        <v>177.41914921115423</v>
      </c>
      <c r="I85">
        <v>9.4616002767420522</v>
      </c>
      <c r="J85">
        <v>190.94467729682313</v>
      </c>
    </row>
    <row r="86" spans="1:10" x14ac:dyDescent="0.2">
      <c r="A86">
        <v>85</v>
      </c>
      <c r="B86" s="1">
        <v>242.75</v>
      </c>
      <c r="C86" s="1">
        <v>11.28</v>
      </c>
      <c r="D86" s="1">
        <v>214.05</v>
      </c>
      <c r="E86">
        <v>-1.1672089101553026E-2</v>
      </c>
      <c r="F86">
        <v>-1.6703685071366603E-2</v>
      </c>
      <c r="G86">
        <v>7.9452251042439034E-4</v>
      </c>
      <c r="H86">
        <v>172.03810757648753</v>
      </c>
      <c r="I86">
        <v>9.4637365227372463</v>
      </c>
      <c r="J86">
        <v>188.58808843137083</v>
      </c>
    </row>
    <row r="87" spans="1:10" x14ac:dyDescent="0.2">
      <c r="A87">
        <v>86</v>
      </c>
      <c r="B87" s="1">
        <v>241.33</v>
      </c>
      <c r="C87" s="1">
        <v>11.08</v>
      </c>
      <c r="D87" s="1">
        <v>211.27</v>
      </c>
      <c r="E87">
        <v>-5.8668157039124388E-3</v>
      </c>
      <c r="F87">
        <v>-1.7889564750775057E-2</v>
      </c>
      <c r="G87">
        <v>-1.3072696278811793E-2</v>
      </c>
      <c r="H87">
        <v>171.56615443149238</v>
      </c>
      <c r="I87">
        <v>9.7032993517063062</v>
      </c>
      <c r="J87">
        <v>183.36358783035257</v>
      </c>
    </row>
    <row r="88" spans="1:10" x14ac:dyDescent="0.2">
      <c r="A88">
        <v>87</v>
      </c>
      <c r="B88" s="1">
        <v>242.91</v>
      </c>
      <c r="C88" s="1">
        <v>10.87</v>
      </c>
      <c r="D88" s="1">
        <v>209.05</v>
      </c>
      <c r="E88">
        <v>6.5257128986108016E-3</v>
      </c>
      <c r="F88">
        <v>-1.9134980186019723E-2</v>
      </c>
      <c r="G88">
        <v>-1.0563478509569259E-2</v>
      </c>
      <c r="H88">
        <v>178.51428877118465</v>
      </c>
      <c r="I88">
        <v>9.8589729184379387</v>
      </c>
      <c r="J88">
        <v>183.02583150574972</v>
      </c>
    </row>
    <row r="89" spans="1:10" x14ac:dyDescent="0.2">
      <c r="A89">
        <v>88</v>
      </c>
      <c r="B89" s="1">
        <v>241.62</v>
      </c>
      <c r="C89" s="1">
        <v>11.07</v>
      </c>
      <c r="D89" s="1">
        <v>207.57</v>
      </c>
      <c r="E89">
        <v>-5.3247602747148893E-3</v>
      </c>
      <c r="F89">
        <v>1.8232045587427425E-2</v>
      </c>
      <c r="G89">
        <v>-7.104825623744683E-3</v>
      </c>
      <c r="H89">
        <v>178.58212115058154</v>
      </c>
      <c r="I89">
        <v>9.7719068697159983</v>
      </c>
      <c r="J89">
        <v>181.15165643244362</v>
      </c>
    </row>
    <row r="90" spans="1:10" x14ac:dyDescent="0.2">
      <c r="A90">
        <v>89</v>
      </c>
      <c r="B90" s="1">
        <v>235.21</v>
      </c>
      <c r="C90" s="1">
        <v>10.82</v>
      </c>
      <c r="D90" s="1">
        <v>202.38</v>
      </c>
      <c r="E90">
        <v>-2.6887511963965476E-2</v>
      </c>
      <c r="F90">
        <v>-2.2842473302210096E-2</v>
      </c>
      <c r="G90">
        <v>-2.5321513877215478E-2</v>
      </c>
      <c r="H90">
        <v>178.08038957453476</v>
      </c>
      <c r="I90">
        <v>9.5440621011349531</v>
      </c>
      <c r="J90">
        <v>182.25333801291848</v>
      </c>
    </row>
    <row r="91" spans="1:10" x14ac:dyDescent="0.2">
      <c r="A91">
        <v>90</v>
      </c>
      <c r="B91" s="1">
        <v>239</v>
      </c>
      <c r="C91" s="1">
        <v>10.95</v>
      </c>
      <c r="D91" s="1">
        <v>203.35</v>
      </c>
      <c r="E91">
        <v>1.5984819804058345E-2</v>
      </c>
      <c r="F91">
        <v>1.1943182844174186E-2</v>
      </c>
      <c r="G91">
        <v>4.7815140516196241E-3</v>
      </c>
      <c r="H91">
        <v>177.44745424263326</v>
      </c>
      <c r="I91">
        <v>9.347532650750674</v>
      </c>
      <c r="J91">
        <v>180.80295060932266</v>
      </c>
    </row>
    <row r="92" spans="1:10" x14ac:dyDescent="0.2">
      <c r="A92">
        <v>91</v>
      </c>
      <c r="B92" s="1">
        <v>232.47</v>
      </c>
      <c r="C92" s="1">
        <v>11.06</v>
      </c>
      <c r="D92" s="1">
        <v>202.92</v>
      </c>
      <c r="E92">
        <v>-2.7702367487542214E-2</v>
      </c>
      <c r="F92">
        <v>9.9955398316790567E-3</v>
      </c>
      <c r="G92">
        <v>-2.1168196547443788E-3</v>
      </c>
      <c r="H92">
        <v>177.10087624547299</v>
      </c>
      <c r="I92">
        <v>9.1739736810843393</v>
      </c>
      <c r="J92">
        <v>176.81615748867597</v>
      </c>
    </row>
    <row r="93" spans="1:10" x14ac:dyDescent="0.2">
      <c r="A93">
        <v>92</v>
      </c>
      <c r="B93" s="1">
        <v>231.37</v>
      </c>
      <c r="C93" s="1">
        <v>11.21</v>
      </c>
      <c r="D93" s="1">
        <v>213.25</v>
      </c>
      <c r="E93">
        <v>-4.7430237243777417E-3</v>
      </c>
      <c r="F93">
        <v>1.3471240989879779E-2</v>
      </c>
      <c r="G93">
        <v>4.9653373673299327E-2</v>
      </c>
      <c r="H93">
        <v>169.47768659122238</v>
      </c>
      <c r="I93">
        <v>8.9712607675324083</v>
      </c>
      <c r="J93">
        <v>181.80661698178525</v>
      </c>
    </row>
    <row r="94" spans="1:10" x14ac:dyDescent="0.2">
      <c r="A94">
        <v>93</v>
      </c>
      <c r="B94" s="1">
        <v>242.62</v>
      </c>
      <c r="C94" s="1">
        <v>11.28</v>
      </c>
      <c r="D94" s="1">
        <v>220.03</v>
      </c>
      <c r="E94">
        <v>4.7478272623182598E-2</v>
      </c>
      <c r="F94">
        <v>6.2250089858442333E-3</v>
      </c>
      <c r="G94">
        <v>3.1298714320261108E-2</v>
      </c>
      <c r="H94">
        <v>170.50730662276212</v>
      </c>
      <c r="I94">
        <v>9.0239175892954471</v>
      </c>
      <c r="J94">
        <v>174.56824119500732</v>
      </c>
    </row>
    <row r="95" spans="1:10" x14ac:dyDescent="0.2">
      <c r="A95">
        <v>94</v>
      </c>
      <c r="B95" s="1">
        <v>241.83</v>
      </c>
      <c r="C95" s="1">
        <v>11.32</v>
      </c>
      <c r="D95" s="1">
        <v>229.35</v>
      </c>
      <c r="E95">
        <v>-3.2614333791540131E-3</v>
      </c>
      <c r="F95">
        <v>3.539826705124208E-3</v>
      </c>
      <c r="G95">
        <v>4.1485320351131408E-2</v>
      </c>
      <c r="H95">
        <v>177.78069310653368</v>
      </c>
      <c r="I95">
        <v>8.923314405397381</v>
      </c>
      <c r="J95">
        <v>173.9960635205174</v>
      </c>
    </row>
    <row r="96" spans="1:10" x14ac:dyDescent="0.2">
      <c r="A96">
        <v>95</v>
      </c>
      <c r="B96" s="1">
        <v>242.09</v>
      </c>
      <c r="C96" s="1">
        <v>11.14</v>
      </c>
      <c r="D96" s="1">
        <v>227.18</v>
      </c>
      <c r="E96">
        <v>1.0745578815420573E-3</v>
      </c>
      <c r="F96">
        <v>-1.6028838275898915E-2</v>
      </c>
      <c r="G96">
        <v>-9.506566239905357E-3</v>
      </c>
      <c r="H96">
        <v>182.73367967660559</v>
      </c>
      <c r="I96">
        <v>9.122248595205896</v>
      </c>
      <c r="J96">
        <v>172.31851003283379</v>
      </c>
    </row>
    <row r="97" spans="1:10" x14ac:dyDescent="0.2">
      <c r="A97">
        <v>96</v>
      </c>
      <c r="B97" s="1">
        <v>244.29</v>
      </c>
      <c r="C97" s="1">
        <v>11.25</v>
      </c>
      <c r="D97" s="1">
        <v>229.65</v>
      </c>
      <c r="E97">
        <v>9.0464863019880989E-3</v>
      </c>
      <c r="F97">
        <v>9.8258941512912E-3</v>
      </c>
      <c r="G97">
        <v>1.0813755968526953E-2</v>
      </c>
      <c r="H97">
        <v>181.00126313943969</v>
      </c>
      <c r="I97">
        <v>8.9156528761007525</v>
      </c>
      <c r="J97">
        <v>172.56058780310741</v>
      </c>
    </row>
    <row r="98" spans="1:10" x14ac:dyDescent="0.2">
      <c r="A98">
        <v>97</v>
      </c>
      <c r="B98" s="1">
        <v>241.44</v>
      </c>
      <c r="C98" s="1">
        <v>11.44</v>
      </c>
      <c r="D98" s="1">
        <v>233.33</v>
      </c>
      <c r="E98">
        <v>-1.1735049127610796E-2</v>
      </c>
      <c r="F98">
        <v>1.6747857301222763E-2</v>
      </c>
      <c r="G98">
        <v>1.5897349787165019E-2</v>
      </c>
      <c r="H98">
        <v>180.93718483774558</v>
      </c>
      <c r="I98">
        <v>9.2167985315702818</v>
      </c>
      <c r="J98">
        <v>171.12375546023259</v>
      </c>
    </row>
    <row r="99" spans="1:10" x14ac:dyDescent="0.2">
      <c r="A99">
        <v>98</v>
      </c>
      <c r="B99" s="1">
        <v>241</v>
      </c>
      <c r="C99" s="1">
        <v>11.44</v>
      </c>
      <c r="D99" s="1">
        <v>232.78</v>
      </c>
      <c r="E99">
        <v>-1.8240615288837674E-3</v>
      </c>
      <c r="F99">
        <v>0</v>
      </c>
      <c r="G99">
        <v>-2.3599590451372499E-3</v>
      </c>
      <c r="H99">
        <v>180.65315614019073</v>
      </c>
      <c r="I99">
        <v>9.3090485133480474</v>
      </c>
      <c r="J99">
        <v>164.36209240336319</v>
      </c>
    </row>
    <row r="100" spans="1:10" x14ac:dyDescent="0.2">
      <c r="A100">
        <v>99</v>
      </c>
      <c r="B100" s="1">
        <v>238.88</v>
      </c>
      <c r="C100" s="1">
        <v>11.44</v>
      </c>
      <c r="D100" s="1">
        <v>231.59</v>
      </c>
      <c r="E100">
        <v>-8.8355996997747984E-3</v>
      </c>
      <c r="F100">
        <v>0</v>
      </c>
      <c r="G100">
        <v>-5.1252346401009499E-3</v>
      </c>
      <c r="H100">
        <v>182.72188312426684</v>
      </c>
      <c r="I100">
        <v>9.1792239015493777</v>
      </c>
      <c r="J100">
        <v>162.91208626536371</v>
      </c>
    </row>
    <row r="101" spans="1:10" x14ac:dyDescent="0.2">
      <c r="A101">
        <v>100</v>
      </c>
      <c r="B101" s="1">
        <v>241.41</v>
      </c>
      <c r="C101" s="1">
        <v>11.46</v>
      </c>
      <c r="D101" s="1">
        <v>230.89</v>
      </c>
      <c r="E101">
        <v>1.0535399035270916E-2</v>
      </c>
      <c r="F101">
        <v>1.7467253349418002E-3</v>
      </c>
      <c r="G101">
        <v>-3.0271602428172274E-3</v>
      </c>
      <c r="H101">
        <v>185.96083055630069</v>
      </c>
      <c r="I101">
        <v>9.2284994283911335</v>
      </c>
      <c r="J101">
        <v>163.49130962607705</v>
      </c>
    </row>
    <row r="102" spans="1:10" x14ac:dyDescent="0.2">
      <c r="A102">
        <v>101</v>
      </c>
      <c r="B102" s="1">
        <v>232.7</v>
      </c>
      <c r="C102" s="1">
        <v>11.58</v>
      </c>
      <c r="D102" s="1">
        <v>230.56</v>
      </c>
      <c r="E102">
        <v>-3.674666251790517E-2</v>
      </c>
      <c r="F102">
        <v>1.041676085825558E-2</v>
      </c>
      <c r="G102">
        <v>-1.430274379700124E-3</v>
      </c>
      <c r="H102">
        <v>185.7062972624131</v>
      </c>
      <c r="I102">
        <v>9.3722499492315556</v>
      </c>
      <c r="J102">
        <v>166.56061889576395</v>
      </c>
    </row>
    <row r="103" spans="1:10" x14ac:dyDescent="0.2">
      <c r="A103">
        <v>102</v>
      </c>
      <c r="B103" s="1">
        <v>228.6</v>
      </c>
      <c r="C103" s="1">
        <v>11.49</v>
      </c>
      <c r="D103" s="1">
        <v>226.01</v>
      </c>
      <c r="E103">
        <v>-1.7776318947535709E-2</v>
      </c>
      <c r="F103">
        <v>-7.802380284184899E-3</v>
      </c>
      <c r="G103">
        <v>-1.9931886170219938E-2</v>
      </c>
      <c r="H103">
        <v>192.86214344784284</v>
      </c>
      <c r="I103">
        <v>9.6216557905277433</v>
      </c>
      <c r="J103">
        <v>162.50261743512914</v>
      </c>
    </row>
    <row r="104" spans="1:10" x14ac:dyDescent="0.2">
      <c r="A104">
        <v>103</v>
      </c>
      <c r="B104" s="1">
        <v>227.33</v>
      </c>
      <c r="C104" s="1">
        <v>11.33</v>
      </c>
      <c r="D104" s="1">
        <v>224.9</v>
      </c>
      <c r="E104">
        <v>-5.5710450494552482E-3</v>
      </c>
      <c r="F104">
        <v>-1.40230168207494E-2</v>
      </c>
      <c r="G104">
        <v>-4.9233871157219602E-3</v>
      </c>
      <c r="H104">
        <v>190.14719831661034</v>
      </c>
      <c r="I104">
        <v>9.739706240773403</v>
      </c>
      <c r="J104">
        <v>162.53599794627775</v>
      </c>
    </row>
    <row r="105" spans="1:10" x14ac:dyDescent="0.2">
      <c r="A105">
        <v>104</v>
      </c>
      <c r="B105" s="1">
        <v>232.99</v>
      </c>
      <c r="C105" s="1">
        <v>11.74</v>
      </c>
      <c r="D105" s="1">
        <v>227.76</v>
      </c>
      <c r="E105">
        <v>2.4592827878486743E-2</v>
      </c>
      <c r="F105">
        <v>3.5547739360035351E-2</v>
      </c>
      <c r="G105">
        <v>1.2636584004512057E-2</v>
      </c>
      <c r="H105">
        <v>190.75568759729208</v>
      </c>
      <c r="I105">
        <v>9.5685532712464827</v>
      </c>
      <c r="J105">
        <v>160.94865580010443</v>
      </c>
    </row>
    <row r="106" spans="1:10" x14ac:dyDescent="0.2">
      <c r="A106">
        <v>105</v>
      </c>
      <c r="B106" s="1">
        <v>235.59</v>
      </c>
      <c r="C106" s="1">
        <v>11.82</v>
      </c>
      <c r="D106" s="1">
        <v>227.16</v>
      </c>
      <c r="E106">
        <v>1.1097471865151323E-2</v>
      </c>
      <c r="F106">
        <v>6.7911975780017555E-3</v>
      </c>
      <c r="G106">
        <v>-2.6378279605502935E-3</v>
      </c>
      <c r="H106">
        <v>187.93697099094427</v>
      </c>
      <c r="I106">
        <v>9.4897143456145781</v>
      </c>
      <c r="J106">
        <v>161.16029710103544</v>
      </c>
    </row>
    <row r="107" spans="1:10" x14ac:dyDescent="0.2">
      <c r="A107">
        <v>106</v>
      </c>
      <c r="B107" s="1">
        <v>238.72</v>
      </c>
      <c r="C107" s="1">
        <v>11.84</v>
      </c>
      <c r="D107" s="1">
        <v>229.31</v>
      </c>
      <c r="E107">
        <v>1.3198310960503145E-2</v>
      </c>
      <c r="F107">
        <v>1.6906174779074521E-3</v>
      </c>
      <c r="G107">
        <v>9.4201848936647913E-3</v>
      </c>
      <c r="H107">
        <v>195.78377344806515</v>
      </c>
      <c r="I107">
        <v>9.9831670491902642</v>
      </c>
      <c r="J107">
        <v>156.11789900206651</v>
      </c>
    </row>
    <row r="108" spans="1:10" x14ac:dyDescent="0.2">
      <c r="A108">
        <v>107</v>
      </c>
      <c r="B108" s="1">
        <v>239.29</v>
      </c>
      <c r="C108" s="1">
        <v>11.91</v>
      </c>
      <c r="D108" s="1">
        <v>230.49</v>
      </c>
      <c r="E108">
        <v>2.3848884758284079E-3</v>
      </c>
      <c r="F108">
        <v>5.8947539113492322E-3</v>
      </c>
      <c r="G108">
        <v>5.1326776447566114E-3</v>
      </c>
      <c r="H108">
        <v>196.1965068765858</v>
      </c>
      <c r="I108">
        <v>9.8363780644834069</v>
      </c>
      <c r="J108">
        <v>153.03790466071374</v>
      </c>
    </row>
    <row r="109" spans="1:10" x14ac:dyDescent="0.2">
      <c r="A109">
        <v>108</v>
      </c>
      <c r="B109" s="1">
        <v>238.27</v>
      </c>
      <c r="C109" s="1">
        <v>11.71</v>
      </c>
      <c r="D109" s="1">
        <v>232.56</v>
      </c>
      <c r="E109">
        <v>-4.2717210446669646E-3</v>
      </c>
      <c r="F109">
        <v>-1.6935205757582696E-2</v>
      </c>
      <c r="G109">
        <v>8.9407787029671757E-3</v>
      </c>
      <c r="H109">
        <v>192.34936433564869</v>
      </c>
      <c r="I109">
        <v>9.9083395422395899</v>
      </c>
      <c r="J109">
        <v>154.51580074205231</v>
      </c>
    </row>
    <row r="110" spans="1:10" x14ac:dyDescent="0.2">
      <c r="A110">
        <v>109</v>
      </c>
      <c r="B110" s="1">
        <v>230.87</v>
      </c>
      <c r="C110" s="1">
        <v>11.77</v>
      </c>
      <c r="D110" s="1">
        <v>232.14</v>
      </c>
      <c r="E110">
        <v>-3.154970290232461E-2</v>
      </c>
      <c r="F110">
        <v>5.1107436625593312E-3</v>
      </c>
      <c r="G110">
        <v>-1.8076183101439452E-3</v>
      </c>
      <c r="H110">
        <v>190.79694564610713</v>
      </c>
      <c r="I110">
        <v>9.954983376735985</v>
      </c>
      <c r="J110">
        <v>154.11359967652609</v>
      </c>
    </row>
    <row r="111" spans="1:10" x14ac:dyDescent="0.2">
      <c r="A111">
        <v>110</v>
      </c>
      <c r="B111" s="1">
        <v>228.39</v>
      </c>
      <c r="C111" s="1">
        <v>11.72</v>
      </c>
      <c r="D111" s="1">
        <v>229.72</v>
      </c>
      <c r="E111">
        <v>-1.0800087558002096E-2</v>
      </c>
      <c r="F111">
        <v>-4.2571371233187218E-3</v>
      </c>
      <c r="G111">
        <v>-1.0479461944380755E-2</v>
      </c>
      <c r="H111">
        <v>191.34949298340149</v>
      </c>
      <c r="I111">
        <v>9.9037927568800885</v>
      </c>
      <c r="J111">
        <v>155.72643727324311</v>
      </c>
    </row>
    <row r="112" spans="1:10" x14ac:dyDescent="0.2">
      <c r="A112">
        <v>111</v>
      </c>
      <c r="B112" s="1">
        <v>231.39</v>
      </c>
      <c r="C112" s="1">
        <v>11.62</v>
      </c>
      <c r="D112" s="1">
        <v>238.47</v>
      </c>
      <c r="E112">
        <v>1.3049904627786473E-2</v>
      </c>
      <c r="F112">
        <v>-8.5690327251015143E-3</v>
      </c>
      <c r="G112">
        <v>3.738234025703522E-2</v>
      </c>
      <c r="H112">
        <v>189.57061102042599</v>
      </c>
      <c r="I112">
        <v>9.7464857047999001</v>
      </c>
      <c r="J112">
        <v>157.13488737375943</v>
      </c>
    </row>
    <row r="113" spans="1:10" x14ac:dyDescent="0.2">
      <c r="A113">
        <v>112</v>
      </c>
      <c r="B113" s="1">
        <v>235.21</v>
      </c>
      <c r="C113" s="1">
        <v>11.68</v>
      </c>
      <c r="D113" s="1">
        <v>239.78</v>
      </c>
      <c r="E113">
        <v>1.6374133513434877E-2</v>
      </c>
      <c r="F113">
        <v>5.1502259763158611E-3</v>
      </c>
      <c r="G113">
        <v>5.4783200263767082E-3</v>
      </c>
      <c r="H113">
        <v>194.65231971455938</v>
      </c>
      <c r="I113">
        <v>9.556158050020974</v>
      </c>
      <c r="J113">
        <v>159.31893374783184</v>
      </c>
    </row>
    <row r="114" spans="1:10" x14ac:dyDescent="0.2">
      <c r="A114">
        <v>113</v>
      </c>
      <c r="B114" s="1">
        <v>243.41</v>
      </c>
      <c r="C114" s="1">
        <v>11.74</v>
      </c>
      <c r="D114" s="1">
        <v>239.69</v>
      </c>
      <c r="E114">
        <v>3.4268532216370808E-2</v>
      </c>
      <c r="F114">
        <v>5.1238369998694664E-3</v>
      </c>
      <c r="G114">
        <v>-3.7541452460853166E-4</v>
      </c>
      <c r="H114">
        <v>197.37548294657614</v>
      </c>
      <c r="I114">
        <v>9.4603377233708112</v>
      </c>
      <c r="J114">
        <v>156.18237857171607</v>
      </c>
    </row>
    <row r="115" spans="1:10" x14ac:dyDescent="0.2">
      <c r="A115">
        <v>114</v>
      </c>
      <c r="B115" s="1">
        <v>247.19</v>
      </c>
      <c r="C115" s="1">
        <v>11.69</v>
      </c>
      <c r="D115" s="1">
        <v>237.88</v>
      </c>
      <c r="E115">
        <v>1.5410007347031351E-2</v>
      </c>
      <c r="F115">
        <v>-4.2680389159734048E-3</v>
      </c>
      <c r="G115">
        <v>-7.5800769165061304E-3</v>
      </c>
      <c r="H115">
        <v>197.24682313303887</v>
      </c>
      <c r="I115">
        <v>9.6344555965523924</v>
      </c>
      <c r="J115">
        <v>150.85402169918146</v>
      </c>
    </row>
    <row r="116" spans="1:10" x14ac:dyDescent="0.2">
      <c r="A116">
        <v>115</v>
      </c>
      <c r="B116" s="1">
        <v>250.92</v>
      </c>
      <c r="C116" s="1">
        <v>11.49</v>
      </c>
      <c r="D116" s="1">
        <v>234.35</v>
      </c>
      <c r="E116">
        <v>1.4976891537688091E-2</v>
      </c>
      <c r="F116">
        <v>-1.7256683623312674E-2</v>
      </c>
      <c r="G116">
        <v>-1.4950620469677826E-2</v>
      </c>
      <c r="H116">
        <v>198.52381443247</v>
      </c>
      <c r="I116">
        <v>9.4769575001875257</v>
      </c>
      <c r="J116">
        <v>146.78018901969483</v>
      </c>
    </row>
    <row r="117" spans="1:10" x14ac:dyDescent="0.2">
      <c r="A117">
        <v>116</v>
      </c>
      <c r="B117" s="1">
        <v>260.44</v>
      </c>
      <c r="C117" s="1">
        <v>11.42</v>
      </c>
      <c r="D117" s="1">
        <v>226.79</v>
      </c>
      <c r="E117">
        <v>3.7238345140118791E-2</v>
      </c>
      <c r="F117">
        <v>-6.1108876328001488E-3</v>
      </c>
      <c r="G117">
        <v>-3.2791245197944616E-2</v>
      </c>
      <c r="H117">
        <v>190.93122900565876</v>
      </c>
      <c r="I117">
        <v>9.3524047139908877</v>
      </c>
      <c r="J117">
        <v>144.29264698188373</v>
      </c>
    </row>
    <row r="118" spans="1:10" x14ac:dyDescent="0.2">
      <c r="A118">
        <v>117</v>
      </c>
      <c r="B118" s="1">
        <v>258.91000000000003</v>
      </c>
      <c r="C118" s="1">
        <v>11.76</v>
      </c>
      <c r="D118" s="1">
        <v>230.03</v>
      </c>
      <c r="E118">
        <v>-5.8919974053747437E-3</v>
      </c>
      <c r="F118">
        <v>2.9337738242616682E-2</v>
      </c>
      <c r="G118">
        <v>1.4185256029157005E-2</v>
      </c>
      <c r="H118">
        <v>185.59345939792169</v>
      </c>
      <c r="I118">
        <v>9.4506992852544176</v>
      </c>
      <c r="J118">
        <v>143.07537900929191</v>
      </c>
    </row>
    <row r="119" spans="1:10" x14ac:dyDescent="0.2">
      <c r="A119">
        <v>118</v>
      </c>
      <c r="B119" s="1">
        <v>259.33</v>
      </c>
      <c r="C119" s="1">
        <v>11.68</v>
      </c>
      <c r="D119" s="1">
        <v>234.07</v>
      </c>
      <c r="E119">
        <v>1.6208709939516638E-3</v>
      </c>
      <c r="F119">
        <v>-6.8259650703998706E-3</v>
      </c>
      <c r="G119">
        <v>1.7410480721885509E-2</v>
      </c>
      <c r="H119">
        <v>191.2261743243113</v>
      </c>
      <c r="I119">
        <v>9.3928015072703168</v>
      </c>
      <c r="J119">
        <v>144.54798606632983</v>
      </c>
    </row>
    <row r="120" spans="1:10" x14ac:dyDescent="0.2">
      <c r="A120">
        <v>119</v>
      </c>
      <c r="B120" s="1">
        <v>261.38</v>
      </c>
      <c r="C120" s="1">
        <v>11.68</v>
      </c>
      <c r="D120" s="1">
        <v>236.7</v>
      </c>
      <c r="E120">
        <v>7.8739052116516776E-3</v>
      </c>
      <c r="F120">
        <v>0</v>
      </c>
      <c r="G120">
        <v>1.1173300598125255E-2</v>
      </c>
      <c r="H120">
        <v>194.1829257728061</v>
      </c>
      <c r="I120">
        <v>9.4696487686555564</v>
      </c>
      <c r="J120">
        <v>152.96321302165202</v>
      </c>
    </row>
    <row r="121" spans="1:10" x14ac:dyDescent="0.2">
      <c r="A121">
        <v>120</v>
      </c>
      <c r="B121" s="1">
        <v>262.06</v>
      </c>
      <c r="C121" s="1">
        <v>11.61</v>
      </c>
      <c r="D121" s="1">
        <v>238.15</v>
      </c>
      <c r="E121">
        <v>2.5981980075493317E-3</v>
      </c>
      <c r="F121">
        <v>-6.011181690280921E-3</v>
      </c>
      <c r="G121">
        <v>6.1072107269313034E-3</v>
      </c>
      <c r="H121">
        <v>191.83659007852884</v>
      </c>
      <c r="I121">
        <v>9.522855145581719</v>
      </c>
      <c r="J121">
        <v>158.49426322677598</v>
      </c>
    </row>
    <row r="122" spans="1:10" x14ac:dyDescent="0.2">
      <c r="A122">
        <v>121</v>
      </c>
      <c r="B122" s="1">
        <v>262.79000000000002</v>
      </c>
      <c r="C122" s="1">
        <v>11.66</v>
      </c>
      <c r="D122" s="1">
        <v>238.99</v>
      </c>
      <c r="E122">
        <v>2.781748959649534E-3</v>
      </c>
      <c r="F122">
        <v>4.2973852125461733E-3</v>
      </c>
      <c r="G122">
        <v>3.5209828050978467E-3</v>
      </c>
      <c r="H122">
        <v>198.99025740004339</v>
      </c>
      <c r="I122">
        <v>9.4950173767925907</v>
      </c>
      <c r="J122">
        <v>162.60130879186497</v>
      </c>
    </row>
    <row r="123" spans="1:10" x14ac:dyDescent="0.2">
      <c r="A123">
        <v>122</v>
      </c>
      <c r="B123" s="1">
        <v>268.64</v>
      </c>
      <c r="C123" s="1">
        <v>11.74</v>
      </c>
      <c r="D123" s="1">
        <v>237.88</v>
      </c>
      <c r="E123">
        <v>2.2016959193141849E-2</v>
      </c>
      <c r="F123">
        <v>6.8376334776039686E-3</v>
      </c>
      <c r="G123">
        <v>-4.6553652135744661E-3</v>
      </c>
      <c r="H123">
        <v>198.8792491776797</v>
      </c>
      <c r="I123">
        <v>9.8033896229004984</v>
      </c>
      <c r="J123">
        <v>164.43802447170759</v>
      </c>
    </row>
    <row r="124" spans="1:10" x14ac:dyDescent="0.2">
      <c r="A124">
        <v>123</v>
      </c>
      <c r="B124" s="1">
        <v>264.87</v>
      </c>
      <c r="C124" s="1">
        <v>11.62</v>
      </c>
      <c r="D124" s="1">
        <v>245.5</v>
      </c>
      <c r="E124">
        <v>-1.4133053747629883E-2</v>
      </c>
      <c r="F124">
        <v>-1.027406297618534E-2</v>
      </c>
      <c r="G124">
        <v>3.1530602396182335E-2</v>
      </c>
      <c r="H124">
        <v>196.74866530082267</v>
      </c>
      <c r="I124">
        <v>9.8559326812069443</v>
      </c>
      <c r="J124">
        <v>165.21320628307237</v>
      </c>
    </row>
    <row r="125" spans="1:10" x14ac:dyDescent="0.2">
      <c r="A125">
        <v>124</v>
      </c>
      <c r="B125" s="1">
        <v>272.63</v>
      </c>
      <c r="C125" s="1">
        <v>11.66</v>
      </c>
      <c r="D125" s="1">
        <v>256.08</v>
      </c>
      <c r="E125">
        <v>2.8876424982925194E-2</v>
      </c>
      <c r="F125">
        <v>3.4364294985813186E-3</v>
      </c>
      <c r="G125">
        <v>4.2192948427032299E-2</v>
      </c>
      <c r="H125">
        <v>199.38174021249284</v>
      </c>
      <c r="I125">
        <v>9.8020592729582052</v>
      </c>
      <c r="J125">
        <v>166.47790429955757</v>
      </c>
    </row>
    <row r="126" spans="1:10" x14ac:dyDescent="0.2">
      <c r="A126">
        <v>125</v>
      </c>
      <c r="B126" s="1">
        <v>282.70999999999998</v>
      </c>
      <c r="C126" s="1">
        <v>11.73</v>
      </c>
      <c r="D126" s="1">
        <v>254.43</v>
      </c>
      <c r="E126">
        <v>3.6306072696526484E-2</v>
      </c>
      <c r="F126">
        <v>5.9854817430378239E-3</v>
      </c>
      <c r="G126">
        <v>-6.4641466198891257E-3</v>
      </c>
      <c r="H126">
        <v>199.45473958918444</v>
      </c>
      <c r="I126">
        <v>9.6490592308707388</v>
      </c>
      <c r="J126">
        <v>160.44259906608215</v>
      </c>
    </row>
    <row r="127" spans="1:10" x14ac:dyDescent="0.2">
      <c r="A127">
        <v>126</v>
      </c>
      <c r="B127" s="1">
        <v>280.70999999999998</v>
      </c>
      <c r="C127" s="1">
        <v>11.63</v>
      </c>
      <c r="D127" s="1">
        <v>252.31</v>
      </c>
      <c r="E127">
        <v>-7.0995293051211369E-3</v>
      </c>
      <c r="F127">
        <v>-8.5616961348110362E-3</v>
      </c>
      <c r="G127">
        <v>-8.367258825429779E-3</v>
      </c>
      <c r="H127">
        <v>200.9706349569112</v>
      </c>
      <c r="I127">
        <v>9.5822005275809179</v>
      </c>
      <c r="J127">
        <v>165.61775885727872</v>
      </c>
    </row>
    <row r="128" spans="1:10" x14ac:dyDescent="0.2">
      <c r="A128">
        <v>127</v>
      </c>
      <c r="B128" s="1">
        <v>276.66000000000003</v>
      </c>
      <c r="C128" s="1">
        <v>11.62</v>
      </c>
      <c r="D128" s="1">
        <v>256.87</v>
      </c>
      <c r="E128">
        <v>-1.4532792509261885E-2</v>
      </c>
      <c r="F128">
        <v>-8.6021510680799214E-4</v>
      </c>
      <c r="G128">
        <v>1.7911630124575698E-2</v>
      </c>
      <c r="H128">
        <v>199.19337549574368</v>
      </c>
      <c r="I128">
        <v>9.6775697228817741</v>
      </c>
      <c r="J128">
        <v>166.94141630930878</v>
      </c>
    </row>
    <row r="129" spans="1:10" x14ac:dyDescent="0.2">
      <c r="A129">
        <v>128</v>
      </c>
      <c r="B129" s="1">
        <v>273.36</v>
      </c>
      <c r="C129" s="1">
        <v>12.01</v>
      </c>
      <c r="D129" s="1">
        <v>255.46</v>
      </c>
      <c r="E129">
        <v>-1.1999707639632807E-2</v>
      </c>
      <c r="F129">
        <v>3.3011884668127101E-2</v>
      </c>
      <c r="G129">
        <v>-5.5042787262334567E-3</v>
      </c>
      <c r="H129">
        <v>196.85246529031156</v>
      </c>
      <c r="I129">
        <v>9.6609839970697848</v>
      </c>
      <c r="J129">
        <v>167.43896150066601</v>
      </c>
    </row>
    <row r="130" spans="1:10" x14ac:dyDescent="0.2">
      <c r="A130">
        <v>129</v>
      </c>
      <c r="B130" s="1">
        <v>273.23</v>
      </c>
      <c r="C130" s="1">
        <v>12.09</v>
      </c>
      <c r="D130" s="1">
        <v>254.43</v>
      </c>
      <c r="E130">
        <v>-4.7567647579078916E-4</v>
      </c>
      <c r="F130">
        <v>6.639028534809085E-3</v>
      </c>
      <c r="G130">
        <v>-4.040092572912473E-3</v>
      </c>
      <c r="H130">
        <v>186.72659248079344</v>
      </c>
      <c r="I130">
        <v>9.5860876756753317</v>
      </c>
      <c r="J130">
        <v>169.37943279795721</v>
      </c>
    </row>
    <row r="131" spans="1:10" x14ac:dyDescent="0.2">
      <c r="A131">
        <v>130</v>
      </c>
      <c r="B131" s="1">
        <v>279.29000000000002</v>
      </c>
      <c r="C131" s="1">
        <v>11.96</v>
      </c>
      <c r="D131" s="1">
        <v>254.63</v>
      </c>
      <c r="E131">
        <v>2.1936737183712082E-2</v>
      </c>
      <c r="F131">
        <v>-1.0810916104215506E-2</v>
      </c>
      <c r="G131">
        <v>7.8576203312136412E-4</v>
      </c>
      <c r="H131">
        <v>186.10273520103681</v>
      </c>
      <c r="I131">
        <v>9.6530601860321319</v>
      </c>
      <c r="J131">
        <v>166.39535164764482</v>
      </c>
    </row>
    <row r="132" spans="1:10" x14ac:dyDescent="0.2">
      <c r="A132">
        <v>131</v>
      </c>
      <c r="B132" s="1">
        <v>288.47000000000003</v>
      </c>
      <c r="C132" s="1">
        <v>12.27</v>
      </c>
      <c r="D132" s="1">
        <v>255.45</v>
      </c>
      <c r="E132">
        <v>3.2340425891081728E-2</v>
      </c>
      <c r="F132">
        <v>2.5589510200334321E-2</v>
      </c>
      <c r="G132">
        <v>3.2151847019672259E-3</v>
      </c>
      <c r="H132">
        <v>189.07339703061999</v>
      </c>
      <c r="I132">
        <v>9.7859098415206933</v>
      </c>
      <c r="J132">
        <v>172.535286613777</v>
      </c>
    </row>
    <row r="133" spans="1:10" x14ac:dyDescent="0.2">
      <c r="A133">
        <v>132</v>
      </c>
      <c r="B133" s="1">
        <v>288.11</v>
      </c>
      <c r="C133" s="1">
        <v>12.22</v>
      </c>
      <c r="D133" s="1">
        <v>257.13</v>
      </c>
      <c r="E133">
        <v>-1.2487427478607357E-3</v>
      </c>
      <c r="F133">
        <v>-4.0833049793707679E-3</v>
      </c>
      <c r="G133">
        <v>6.555097802094065E-3</v>
      </c>
      <c r="H133">
        <v>187.07258245727201</v>
      </c>
      <c r="I133">
        <v>9.9264042877749326</v>
      </c>
      <c r="J133">
        <v>165.39456335771325</v>
      </c>
    </row>
    <row r="134" spans="1:10" x14ac:dyDescent="0.2">
      <c r="A134">
        <v>133</v>
      </c>
      <c r="B134" s="1">
        <v>292.19</v>
      </c>
      <c r="C134" s="1">
        <v>12.67</v>
      </c>
      <c r="D134" s="1">
        <v>258.02</v>
      </c>
      <c r="E134">
        <v>1.4061923937956435E-2</v>
      </c>
      <c r="F134">
        <v>3.6163040589598426E-2</v>
      </c>
      <c r="G134">
        <v>3.4553077180894433E-3</v>
      </c>
      <c r="H134">
        <v>179.1992450883109</v>
      </c>
      <c r="I134">
        <v>9.8326016494381232</v>
      </c>
      <c r="J134">
        <v>166.16510507434083</v>
      </c>
    </row>
    <row r="135" spans="1:10" x14ac:dyDescent="0.2">
      <c r="A135">
        <v>134</v>
      </c>
      <c r="B135" s="1">
        <v>302.39999999999998</v>
      </c>
      <c r="C135" s="1">
        <v>12.7</v>
      </c>
      <c r="D135" s="1">
        <v>256.69</v>
      </c>
      <c r="E135">
        <v>3.4346368709242688E-2</v>
      </c>
      <c r="F135">
        <v>2.3649991314978833E-3</v>
      </c>
      <c r="G135">
        <v>-5.1679701584425612E-3</v>
      </c>
      <c r="H135">
        <v>180.12977329080033</v>
      </c>
      <c r="I135">
        <v>9.9601378124304905</v>
      </c>
      <c r="J135">
        <v>167.10995387309163</v>
      </c>
    </row>
    <row r="136" spans="1:10" x14ac:dyDescent="0.2">
      <c r="A136">
        <v>135</v>
      </c>
      <c r="B136" s="1">
        <v>294.02999999999997</v>
      </c>
      <c r="C136" s="1">
        <v>11.92</v>
      </c>
      <c r="D136" s="1">
        <v>256.48</v>
      </c>
      <c r="E136">
        <v>-2.806884135617977E-2</v>
      </c>
      <c r="F136">
        <v>-6.3384331827341836E-2</v>
      </c>
      <c r="G136">
        <v>-8.1844227730499413E-4</v>
      </c>
      <c r="H136">
        <v>177.6452936133237</v>
      </c>
      <c r="I136">
        <v>9.7246325420647679</v>
      </c>
      <c r="J136">
        <v>165.48864290017838</v>
      </c>
    </row>
    <row r="137" spans="1:10" x14ac:dyDescent="0.2">
      <c r="A137">
        <v>136</v>
      </c>
      <c r="B137" s="1">
        <v>304.52</v>
      </c>
      <c r="C137" s="1">
        <v>11.74</v>
      </c>
      <c r="D137" s="1">
        <v>258.06</v>
      </c>
      <c r="E137">
        <v>3.5054963488813658E-2</v>
      </c>
      <c r="F137">
        <v>-1.5215847237253317E-2</v>
      </c>
      <c r="G137">
        <v>6.1414271624570778E-3</v>
      </c>
      <c r="H137">
        <v>177.69501145842636</v>
      </c>
      <c r="I137">
        <v>9.691161921954885</v>
      </c>
      <c r="J137">
        <v>170.43906328810226</v>
      </c>
    </row>
    <row r="138" spans="1:10" x14ac:dyDescent="0.2">
      <c r="A138">
        <v>137</v>
      </c>
      <c r="B138" s="1">
        <v>299.88</v>
      </c>
      <c r="C138" s="1">
        <v>11.5</v>
      </c>
      <c r="D138" s="1">
        <v>254.04</v>
      </c>
      <c r="E138">
        <v>-1.5354371803150503E-2</v>
      </c>
      <c r="F138">
        <v>-2.0654779030746025E-2</v>
      </c>
      <c r="G138">
        <v>-1.5700381088925939E-2</v>
      </c>
      <c r="H138">
        <v>174.79663752253268</v>
      </c>
      <c r="I138">
        <v>9.6263296741924442</v>
      </c>
      <c r="J138">
        <v>169.36194248412085</v>
      </c>
    </row>
    <row r="139" spans="1:10" x14ac:dyDescent="0.2">
      <c r="A139">
        <v>138</v>
      </c>
      <c r="B139" s="1">
        <v>280.66000000000003</v>
      </c>
      <c r="C139" s="1">
        <v>11.41</v>
      </c>
      <c r="D139" s="1">
        <v>245.27</v>
      </c>
      <c r="E139">
        <v>-6.6238422311871561E-2</v>
      </c>
      <c r="F139">
        <v>-7.8568714952201319E-3</v>
      </c>
      <c r="G139">
        <v>-3.5132090374928697E-2</v>
      </c>
      <c r="H139">
        <v>175.6340625291655</v>
      </c>
      <c r="I139">
        <v>9.6341914879612904</v>
      </c>
      <c r="J139">
        <v>166.32400777200812</v>
      </c>
    </row>
    <row r="140" spans="1:10" x14ac:dyDescent="0.2">
      <c r="A140">
        <v>139</v>
      </c>
      <c r="B140" s="1">
        <v>302.89</v>
      </c>
      <c r="C140" s="1">
        <v>11.54</v>
      </c>
      <c r="D140" s="1">
        <v>247.66</v>
      </c>
      <c r="E140">
        <v>7.6225730969116945E-2</v>
      </c>
      <c r="F140">
        <v>1.1329097205969229E-2</v>
      </c>
      <c r="G140">
        <v>9.6971932271071818E-3</v>
      </c>
      <c r="H140">
        <v>175.28045033682196</v>
      </c>
      <c r="I140">
        <v>9.3527328202066613</v>
      </c>
      <c r="J140">
        <v>163.28410796728889</v>
      </c>
    </row>
    <row r="141" spans="1:10" x14ac:dyDescent="0.2">
      <c r="A141">
        <v>140</v>
      </c>
      <c r="B141" s="1">
        <v>295.94</v>
      </c>
      <c r="C141" s="1">
        <v>11.65</v>
      </c>
      <c r="D141" s="1">
        <v>247.77</v>
      </c>
      <c r="E141">
        <v>-2.3212972217718491E-2</v>
      </c>
      <c r="F141">
        <v>9.4869189317562091E-3</v>
      </c>
      <c r="G141">
        <v>4.440587037828413E-4</v>
      </c>
      <c r="H141">
        <v>178.80274265582264</v>
      </c>
      <c r="I141">
        <v>9.4248328878586065</v>
      </c>
      <c r="J141">
        <v>163.76312855749541</v>
      </c>
    </row>
    <row r="142" spans="1:10" x14ac:dyDescent="0.2">
      <c r="A142">
        <v>141</v>
      </c>
      <c r="B142" s="1">
        <v>304.70999999999998</v>
      </c>
      <c r="C142" s="1">
        <v>11.76</v>
      </c>
      <c r="D142" s="1">
        <v>249.34</v>
      </c>
      <c r="E142">
        <v>2.9203773545131248E-2</v>
      </c>
      <c r="F142">
        <v>9.3977624587713027E-3</v>
      </c>
      <c r="G142">
        <v>6.3165304260936386E-3</v>
      </c>
      <c r="H142">
        <v>174.50477153860271</v>
      </c>
      <c r="I142">
        <v>9.6201274040633766</v>
      </c>
      <c r="J142">
        <v>162.67870521219393</v>
      </c>
    </row>
    <row r="143" spans="1:10" x14ac:dyDescent="0.2">
      <c r="A143">
        <v>142</v>
      </c>
      <c r="B143" s="1">
        <v>299.83999999999997</v>
      </c>
      <c r="C143" s="1">
        <v>11.74</v>
      </c>
      <c r="D143" s="1">
        <v>247.45</v>
      </c>
      <c r="E143">
        <v>-1.6111505569462104E-2</v>
      </c>
      <c r="F143">
        <v>-1.7021280705304183E-3</v>
      </c>
      <c r="G143">
        <v>-7.6088855189339194E-3</v>
      </c>
      <c r="H143">
        <v>180.38546874804146</v>
      </c>
      <c r="I143">
        <v>9.5226352278492268</v>
      </c>
      <c r="J143">
        <v>160.58304560556371</v>
      </c>
    </row>
    <row r="144" spans="1:10" x14ac:dyDescent="0.2">
      <c r="A144">
        <v>143</v>
      </c>
      <c r="B144" s="1">
        <v>295.08</v>
      </c>
      <c r="C144" s="1">
        <v>11.92</v>
      </c>
      <c r="D144" s="1">
        <v>252.29</v>
      </c>
      <c r="E144">
        <v>-1.6002493033955789E-2</v>
      </c>
      <c r="F144">
        <v>1.5215847237253215E-2</v>
      </c>
      <c r="G144">
        <v>1.9370678108879068E-2</v>
      </c>
      <c r="H144">
        <v>174.71272009242509</v>
      </c>
      <c r="I144">
        <v>9.5857881313369386</v>
      </c>
      <c r="J144">
        <v>156.8023720325584</v>
      </c>
    </row>
    <row r="145" spans="1:10" x14ac:dyDescent="0.2">
      <c r="A145">
        <v>144</v>
      </c>
      <c r="B145" s="1">
        <v>297.7</v>
      </c>
      <c r="C145" s="1">
        <v>11.99</v>
      </c>
      <c r="D145" s="1">
        <v>262.24</v>
      </c>
      <c r="E145">
        <v>8.8397620056291509E-3</v>
      </c>
      <c r="F145">
        <v>5.8553074022191526E-3</v>
      </c>
      <c r="G145">
        <v>3.8680895488745502E-2</v>
      </c>
      <c r="H145">
        <v>177.29429954628748</v>
      </c>
      <c r="I145">
        <v>9.3411973592382651</v>
      </c>
      <c r="J145">
        <v>161.381395703077</v>
      </c>
    </row>
    <row r="146" spans="1:10" x14ac:dyDescent="0.2">
      <c r="A146">
        <v>145</v>
      </c>
      <c r="B146" s="1">
        <v>294.51</v>
      </c>
      <c r="C146" s="1">
        <v>12.56</v>
      </c>
      <c r="D146" s="1">
        <v>262.77</v>
      </c>
      <c r="E146">
        <v>-1.077330964919102E-2</v>
      </c>
      <c r="F146">
        <v>4.6444192000629853E-2</v>
      </c>
      <c r="G146">
        <v>2.0190098475877521E-3</v>
      </c>
      <c r="H146">
        <v>171.84146524270156</v>
      </c>
      <c r="I146">
        <v>9.4381499179061397</v>
      </c>
      <c r="J146">
        <v>159.24948900895055</v>
      </c>
    </row>
    <row r="147" spans="1:10" x14ac:dyDescent="0.2">
      <c r="A147">
        <v>146</v>
      </c>
      <c r="B147" s="1">
        <v>288.88</v>
      </c>
      <c r="C147" s="1">
        <v>12.43</v>
      </c>
      <c r="D147" s="1">
        <v>258.45</v>
      </c>
      <c r="E147">
        <v>-1.9301581403337362E-2</v>
      </c>
      <c r="F147">
        <v>-1.0404255517432898E-2</v>
      </c>
      <c r="G147">
        <v>-1.6576873201058953E-2</v>
      </c>
      <c r="H147">
        <v>173.53454217326686</v>
      </c>
      <c r="I147">
        <v>9.3035974296621333</v>
      </c>
      <c r="J147">
        <v>160.70340879175635</v>
      </c>
    </row>
    <row r="148" spans="1:10" x14ac:dyDescent="0.2">
      <c r="A148">
        <v>147</v>
      </c>
      <c r="B148" s="1">
        <v>290.73</v>
      </c>
      <c r="C148" s="1">
        <v>12.34</v>
      </c>
      <c r="D148" s="1">
        <v>259.58</v>
      </c>
      <c r="E148">
        <v>6.3836244453660531E-3</v>
      </c>
      <c r="F148">
        <v>-7.2668870453780005E-3</v>
      </c>
      <c r="G148">
        <v>4.3626886175645412E-3</v>
      </c>
      <c r="H148">
        <v>170.25547995437304</v>
      </c>
      <c r="I148">
        <v>9.2600076031844125</v>
      </c>
      <c r="J148">
        <v>162.7770837299567</v>
      </c>
    </row>
    <row r="149" spans="1:10" x14ac:dyDescent="0.2">
      <c r="A149">
        <v>148</v>
      </c>
      <c r="B149" s="1">
        <v>294.95999999999998</v>
      </c>
      <c r="C149" s="1">
        <v>13.84</v>
      </c>
      <c r="D149" s="1">
        <v>262.82</v>
      </c>
      <c r="E149">
        <v>1.444475251132055E-2</v>
      </c>
      <c r="F149">
        <v>0.1147169317122818</v>
      </c>
      <c r="G149">
        <v>1.2404446955879033E-2</v>
      </c>
      <c r="H149">
        <v>172.85775410343797</v>
      </c>
      <c r="I149">
        <v>9.2566112134837137</v>
      </c>
      <c r="J149">
        <v>163.87616829663429</v>
      </c>
    </row>
    <row r="150" spans="1:10" x14ac:dyDescent="0.2">
      <c r="A150">
        <v>149</v>
      </c>
      <c r="B150" s="1">
        <v>298.25</v>
      </c>
      <c r="C150" s="1">
        <v>13.26</v>
      </c>
      <c r="D150" s="1">
        <v>268.81</v>
      </c>
      <c r="E150">
        <v>1.1092307052136508E-2</v>
      </c>
      <c r="F150">
        <v>-4.2810965431807048E-2</v>
      </c>
      <c r="G150">
        <v>2.2535423122463517E-2</v>
      </c>
      <c r="H150">
        <v>175.23207526600928</v>
      </c>
      <c r="I150">
        <v>8.7654032343695114</v>
      </c>
      <c r="J150">
        <v>165.75508372815011</v>
      </c>
    </row>
    <row r="151" spans="1:10" x14ac:dyDescent="0.2">
      <c r="A151">
        <v>150</v>
      </c>
      <c r="B151" s="1">
        <v>301.52999999999997</v>
      </c>
      <c r="C151" s="1">
        <v>13.13</v>
      </c>
      <c r="D151" s="1">
        <v>269</v>
      </c>
      <c r="E151">
        <v>1.0937452726732501E-2</v>
      </c>
      <c r="F151">
        <v>-9.8522964430115944E-3</v>
      </c>
      <c r="G151">
        <v>7.0656926388370416E-4</v>
      </c>
      <c r="H151">
        <v>177.95310903218856</v>
      </c>
      <c r="I151">
        <v>8.8229864288633273</v>
      </c>
      <c r="J151">
        <v>163.80939853377441</v>
      </c>
    </row>
    <row r="152" spans="1:10" x14ac:dyDescent="0.2">
      <c r="A152">
        <v>151</v>
      </c>
      <c r="B152" s="1">
        <v>305.08999999999997</v>
      </c>
      <c r="C152" s="1">
        <v>13.24</v>
      </c>
      <c r="D152" s="1">
        <v>269.7</v>
      </c>
      <c r="E152">
        <v>1.1737301341745681E-2</v>
      </c>
      <c r="F152">
        <v>8.3428621941571881E-3</v>
      </c>
      <c r="G152">
        <v>2.5988505438451492E-3</v>
      </c>
      <c r="H152">
        <v>175.10412560075716</v>
      </c>
      <c r="I152">
        <v>9.012075082191954</v>
      </c>
      <c r="J152">
        <v>165.25004591505513</v>
      </c>
    </row>
    <row r="153" spans="1:10" x14ac:dyDescent="0.2">
      <c r="A153">
        <v>152</v>
      </c>
      <c r="B153" s="1">
        <v>303.22000000000003</v>
      </c>
      <c r="C153" s="1">
        <v>13.06</v>
      </c>
      <c r="D153" s="1">
        <v>271.39999999999998</v>
      </c>
      <c r="E153">
        <v>-6.1482003930679388E-3</v>
      </c>
      <c r="F153">
        <v>-1.368842666057709E-2</v>
      </c>
      <c r="G153">
        <v>6.2835172550845036E-3</v>
      </c>
      <c r="H153">
        <v>180.30201927185433</v>
      </c>
      <c r="I153">
        <v>9.0705726224805847</v>
      </c>
      <c r="J153">
        <v>171.84763660929428</v>
      </c>
    </row>
    <row r="154" spans="1:10" x14ac:dyDescent="0.2">
      <c r="A154">
        <v>153</v>
      </c>
      <c r="B154" s="1">
        <v>300.43</v>
      </c>
      <c r="C154" s="1">
        <v>13.13</v>
      </c>
      <c r="D154" s="1">
        <v>270.37</v>
      </c>
      <c r="E154">
        <v>-9.2438329056095843E-3</v>
      </c>
      <c r="F154">
        <v>5.3455644664198981E-3</v>
      </c>
      <c r="G154">
        <v>-3.8023561325672382E-3</v>
      </c>
      <c r="H154">
        <v>176.72233426765357</v>
      </c>
      <c r="I154">
        <v>9.1871929659882774</v>
      </c>
      <c r="J154">
        <v>173.95497412252365</v>
      </c>
    </row>
    <row r="155" spans="1:10" x14ac:dyDescent="0.2">
      <c r="A155">
        <v>154</v>
      </c>
      <c r="B155" s="1">
        <v>304.86</v>
      </c>
      <c r="C155" s="1">
        <v>13.01</v>
      </c>
      <c r="D155" s="1">
        <v>269.05</v>
      </c>
      <c r="E155">
        <v>1.463787308586949E-2</v>
      </c>
      <c r="F155">
        <v>-9.1813957902909544E-3</v>
      </c>
      <c r="G155">
        <v>-4.8941553327728152E-3</v>
      </c>
      <c r="H155">
        <v>182.81580571091641</v>
      </c>
      <c r="I155">
        <v>9.2365497115151847</v>
      </c>
      <c r="J155">
        <v>177.86101861946344</v>
      </c>
    </row>
    <row r="156" spans="1:10" x14ac:dyDescent="0.2">
      <c r="A156">
        <v>155</v>
      </c>
      <c r="B156" s="1">
        <v>294.05</v>
      </c>
      <c r="C156" s="1">
        <v>12.79</v>
      </c>
      <c r="D156" s="1">
        <v>270.04000000000002</v>
      </c>
      <c r="E156">
        <v>-3.6102833927730518E-2</v>
      </c>
      <c r="F156">
        <v>-1.7054676933662635E-2</v>
      </c>
      <c r="G156">
        <v>3.6728602382412124E-3</v>
      </c>
      <c r="H156">
        <v>184.24816740759357</v>
      </c>
      <c r="I156">
        <v>9.225306346856657</v>
      </c>
      <c r="J156">
        <v>178.49081952535261</v>
      </c>
    </row>
    <row r="157" spans="1:10" x14ac:dyDescent="0.2">
      <c r="A157">
        <v>156</v>
      </c>
      <c r="B157" s="1">
        <v>293.64</v>
      </c>
      <c r="C157" s="1">
        <v>13.11</v>
      </c>
      <c r="D157" s="1">
        <v>270.14</v>
      </c>
      <c r="E157">
        <v>-1.395293663384476E-3</v>
      </c>
      <c r="F157">
        <v>2.471168218485709E-2</v>
      </c>
      <c r="G157">
        <v>3.7024695894810876E-4</v>
      </c>
      <c r="H157">
        <v>184.17644230606288</v>
      </c>
      <c r="I157">
        <v>9.5986796510431738</v>
      </c>
      <c r="J157">
        <v>173.81505143812433</v>
      </c>
    </row>
    <row r="158" spans="1:10" x14ac:dyDescent="0.2">
      <c r="A158">
        <v>157</v>
      </c>
      <c r="B158" s="1">
        <v>289.24</v>
      </c>
      <c r="C158" s="1">
        <v>13.12</v>
      </c>
      <c r="D158" s="1">
        <v>269.77</v>
      </c>
      <c r="E158">
        <v>-1.50977339358294E-2</v>
      </c>
      <c r="F158">
        <v>7.6248574033439538E-4</v>
      </c>
      <c r="G158">
        <v>-1.3705990180649203E-3</v>
      </c>
      <c r="H158">
        <v>187.61387390172538</v>
      </c>
      <c r="I158">
        <v>9.5941584921532908</v>
      </c>
      <c r="J158">
        <v>176.91152563914267</v>
      </c>
    </row>
    <row r="159" spans="1:10" x14ac:dyDescent="0.2">
      <c r="A159">
        <v>158</v>
      </c>
      <c r="B159" s="1">
        <v>286.5</v>
      </c>
      <c r="C159" s="1">
        <v>13.21</v>
      </c>
      <c r="D159" s="1">
        <v>268.47000000000003</v>
      </c>
      <c r="E159">
        <v>-9.5182571519568972E-3</v>
      </c>
      <c r="F159">
        <v>6.836335018291167E-3</v>
      </c>
      <c r="G159">
        <v>-4.8305682516764535E-3</v>
      </c>
      <c r="H159">
        <v>188.23487776245497</v>
      </c>
      <c r="I159">
        <v>9.2902558883316946</v>
      </c>
      <c r="J159">
        <v>178.29074364729018</v>
      </c>
    </row>
    <row r="160" spans="1:10" x14ac:dyDescent="0.2">
      <c r="A160">
        <v>159</v>
      </c>
      <c r="B160" s="1">
        <v>295.27</v>
      </c>
      <c r="C160" s="1">
        <v>13.16</v>
      </c>
      <c r="D160" s="1">
        <v>269.43</v>
      </c>
      <c r="E160">
        <v>3.0151655832545449E-2</v>
      </c>
      <c r="F160">
        <v>-3.792192637062917E-3</v>
      </c>
      <c r="G160">
        <v>3.5694404880914532E-3</v>
      </c>
      <c r="H160">
        <v>189.1066343669149</v>
      </c>
      <c r="I160">
        <v>9.4929604270008952</v>
      </c>
      <c r="J160">
        <v>177.03416096412769</v>
      </c>
    </row>
    <row r="161" spans="1:10" x14ac:dyDescent="0.2">
      <c r="A161">
        <v>160</v>
      </c>
      <c r="B161" s="1">
        <v>291.17</v>
      </c>
      <c r="C161" s="1">
        <v>13.3</v>
      </c>
      <c r="D161" s="1">
        <v>275.25</v>
      </c>
      <c r="E161">
        <v>-1.3982902949959193E-2</v>
      </c>
      <c r="F161">
        <v>1.0582109330537008E-2</v>
      </c>
      <c r="G161">
        <v>2.1371159251821259E-2</v>
      </c>
      <c r="H161">
        <v>188.46493930019255</v>
      </c>
      <c r="I161">
        <v>9.5491787962975625</v>
      </c>
      <c r="J161">
        <v>172.96646632892518</v>
      </c>
    </row>
    <row r="162" spans="1:10" x14ac:dyDescent="0.2">
      <c r="A162">
        <v>161</v>
      </c>
      <c r="B162" s="1">
        <v>290.62</v>
      </c>
      <c r="C162" s="1">
        <v>13.45</v>
      </c>
      <c r="D162" s="1">
        <v>273.47000000000003</v>
      </c>
      <c r="E162">
        <v>-1.8907171448307269E-3</v>
      </c>
      <c r="F162">
        <v>1.1215070820140003E-2</v>
      </c>
      <c r="G162">
        <v>-6.4878489709490634E-3</v>
      </c>
      <c r="H162">
        <v>193.33796306646175</v>
      </c>
      <c r="I162">
        <v>9.6773923608045642</v>
      </c>
      <c r="J162">
        <v>168.7476234175144</v>
      </c>
    </row>
    <row r="163" spans="1:10" x14ac:dyDescent="0.2">
      <c r="A163">
        <v>162</v>
      </c>
      <c r="B163" s="1">
        <v>282.2</v>
      </c>
      <c r="C163" s="1">
        <v>13.28</v>
      </c>
      <c r="D163" s="1">
        <v>272.95</v>
      </c>
      <c r="E163">
        <v>-2.9400532473836283E-2</v>
      </c>
      <c r="F163">
        <v>-1.2719961999560294E-2</v>
      </c>
      <c r="G163">
        <v>-1.903298404073698E-3</v>
      </c>
      <c r="H163">
        <v>201.57025576792111</v>
      </c>
      <c r="I163">
        <v>9.9333699513256288</v>
      </c>
      <c r="J163">
        <v>168.4610952207853</v>
      </c>
    </row>
    <row r="164" spans="1:10" x14ac:dyDescent="0.2">
      <c r="A164">
        <v>163</v>
      </c>
      <c r="B164" s="1">
        <v>284.82</v>
      </c>
      <c r="C164" s="1">
        <v>13.19</v>
      </c>
      <c r="D164" s="1">
        <v>272.41000000000003</v>
      </c>
      <c r="E164">
        <v>9.2413623725680991E-3</v>
      </c>
      <c r="F164">
        <v>-6.8001773190645353E-3</v>
      </c>
      <c r="G164">
        <v>-1.9803439067010314E-3</v>
      </c>
      <c r="H164">
        <v>199.3836614286362</v>
      </c>
      <c r="I164">
        <v>9.9533964446395462</v>
      </c>
      <c r="J164">
        <v>166.88772260803327</v>
      </c>
    </row>
    <row r="165" spans="1:10" x14ac:dyDescent="0.2">
      <c r="A165">
        <v>164</v>
      </c>
      <c r="B165" s="1">
        <v>282.01</v>
      </c>
      <c r="C165" s="1">
        <v>12.88</v>
      </c>
      <c r="D165" s="1">
        <v>267.45999999999998</v>
      </c>
      <c r="E165">
        <v>-9.914870488986401E-3</v>
      </c>
      <c r="F165">
        <v>-2.3783246053015576E-2</v>
      </c>
      <c r="G165">
        <v>-1.8338261876415136E-2</v>
      </c>
      <c r="H165">
        <v>204.34291879729054</v>
      </c>
      <c r="I165">
        <v>10.140548932967762</v>
      </c>
      <c r="J165">
        <v>169.12485423033769</v>
      </c>
    </row>
    <row r="166" spans="1:10" x14ac:dyDescent="0.2">
      <c r="A166">
        <v>165</v>
      </c>
      <c r="B166" s="1">
        <v>277.91000000000003</v>
      </c>
      <c r="C166" s="1">
        <v>13.02</v>
      </c>
      <c r="D166" s="1">
        <v>267.44</v>
      </c>
      <c r="E166">
        <v>-1.4645211034285103E-2</v>
      </c>
      <c r="F166">
        <v>1.0810916104215456E-2</v>
      </c>
      <c r="G166">
        <v>-7.4780332807222467E-5</v>
      </c>
      <c r="H166">
        <v>211.48297089157705</v>
      </c>
      <c r="I166">
        <v>9.9446108479296331</v>
      </c>
      <c r="J166">
        <v>169.07779456725362</v>
      </c>
    </row>
    <row r="167" spans="1:10" x14ac:dyDescent="0.2">
      <c r="A167">
        <v>166</v>
      </c>
      <c r="B167" s="1">
        <v>282.37</v>
      </c>
      <c r="C167" s="1">
        <v>12.9</v>
      </c>
      <c r="D167" s="1">
        <v>268.56</v>
      </c>
      <c r="E167">
        <v>1.5920947413409554E-2</v>
      </c>
      <c r="F167">
        <v>-9.2593254127967123E-3</v>
      </c>
      <c r="G167">
        <v>4.1791105599363393E-3</v>
      </c>
      <c r="H167">
        <v>200.87448843120669</v>
      </c>
      <c r="I167">
        <v>9.6824841478015262</v>
      </c>
      <c r="J167">
        <v>168.62837834714747</v>
      </c>
    </row>
    <row r="168" spans="1:10" x14ac:dyDescent="0.2">
      <c r="A168">
        <v>167</v>
      </c>
      <c r="B168" s="1">
        <v>277.5</v>
      </c>
      <c r="C168" s="1">
        <v>12.41</v>
      </c>
      <c r="D168" s="1">
        <v>266.25</v>
      </c>
      <c r="E168">
        <v>-1.7397334494930375E-2</v>
      </c>
      <c r="F168">
        <v>-3.872471215111057E-2</v>
      </c>
      <c r="G168">
        <v>-8.6386356481446304E-3</v>
      </c>
      <c r="H168">
        <v>203.39802723136836</v>
      </c>
      <c r="I168">
        <v>9.8872773172936395</v>
      </c>
      <c r="J168">
        <v>168.22338861060223</v>
      </c>
    </row>
    <row r="169" spans="1:10" x14ac:dyDescent="0.2">
      <c r="A169">
        <v>168</v>
      </c>
      <c r="B169" s="1">
        <v>275.06</v>
      </c>
      <c r="C169" s="1">
        <v>12.83</v>
      </c>
      <c r="D169" s="1">
        <v>271.49</v>
      </c>
      <c r="E169">
        <v>-8.8316774999274671E-3</v>
      </c>
      <c r="F169">
        <v>3.3283579411029135E-2</v>
      </c>
      <c r="G169">
        <v>1.9489589259502289E-2</v>
      </c>
      <c r="H169">
        <v>201.01230477509091</v>
      </c>
      <c r="I169">
        <v>10.063342373017349</v>
      </c>
      <c r="J169">
        <v>168.05820530752132</v>
      </c>
    </row>
    <row r="170" spans="1:10" x14ac:dyDescent="0.2">
      <c r="A170">
        <v>169</v>
      </c>
      <c r="B170" s="1">
        <v>284.64</v>
      </c>
      <c r="C170" s="1">
        <v>12.96</v>
      </c>
      <c r="D170" s="1">
        <v>275.92</v>
      </c>
      <c r="E170">
        <v>3.4235968230963219E-2</v>
      </c>
      <c r="F170">
        <v>1.008151229658359E-2</v>
      </c>
      <c r="G170">
        <v>1.6185662345448357E-2</v>
      </c>
      <c r="H170">
        <v>205.55175675199257</v>
      </c>
      <c r="I170">
        <v>10.363087996287891</v>
      </c>
      <c r="J170">
        <v>167.54247404229054</v>
      </c>
    </row>
    <row r="171" spans="1:10" x14ac:dyDescent="0.2">
      <c r="A171">
        <v>170</v>
      </c>
      <c r="B171" s="1">
        <v>284.68</v>
      </c>
      <c r="C171" s="1">
        <v>13.17</v>
      </c>
      <c r="D171" s="1">
        <v>276.97000000000003</v>
      </c>
      <c r="E171">
        <v>1.4051851354539898E-4</v>
      </c>
      <c r="F171">
        <v>1.6073824831061054E-2</v>
      </c>
      <c r="G171">
        <v>3.7982284444352779E-3</v>
      </c>
      <c r="H171">
        <v>216.40978134171931</v>
      </c>
      <c r="I171">
        <v>10.079093721091004</v>
      </c>
      <c r="J171">
        <v>170.73789914612988</v>
      </c>
    </row>
    <row r="172" spans="1:10" x14ac:dyDescent="0.2">
      <c r="A172">
        <v>171</v>
      </c>
      <c r="B172" s="1">
        <v>289.95999999999998</v>
      </c>
      <c r="C172" s="1">
        <v>13.19</v>
      </c>
      <c r="D172" s="1">
        <v>277.55</v>
      </c>
      <c r="E172">
        <v>1.8377240001606485E-2</v>
      </c>
      <c r="F172">
        <v>1.5174509740336296E-3</v>
      </c>
      <c r="G172">
        <v>2.0919000631496021E-3</v>
      </c>
      <c r="H172">
        <v>226.49706933890451</v>
      </c>
      <c r="I172">
        <v>9.9507739430750792</v>
      </c>
      <c r="J172">
        <v>173.90123306127839</v>
      </c>
    </row>
    <row r="173" spans="1:10" x14ac:dyDescent="0.2">
      <c r="A173">
        <v>172</v>
      </c>
      <c r="B173" s="1">
        <v>291.51</v>
      </c>
      <c r="C173" s="1">
        <v>13.28</v>
      </c>
      <c r="D173" s="1">
        <v>278.85000000000002</v>
      </c>
      <c r="E173">
        <v>5.3313280867803986E-3</v>
      </c>
      <c r="F173">
        <v>6.8001773190646412E-3</v>
      </c>
      <c r="G173">
        <v>4.6729056993924231E-3</v>
      </c>
      <c r="H173">
        <v>229.43935794143002</v>
      </c>
      <c r="I173">
        <v>9.9860469446754223</v>
      </c>
      <c r="J173">
        <v>172.57454450337917</v>
      </c>
    </row>
    <row r="174" spans="1:10" x14ac:dyDescent="0.2">
      <c r="A174">
        <v>173</v>
      </c>
      <c r="B174" s="1">
        <v>287.68</v>
      </c>
      <c r="C174" s="1">
        <v>13.16</v>
      </c>
      <c r="D174" s="1">
        <v>283.10000000000002</v>
      </c>
      <c r="E174">
        <v>-1.3225559236201759E-2</v>
      </c>
      <c r="F174">
        <v>-9.0772181511165392E-3</v>
      </c>
      <c r="G174">
        <v>1.512618928229114E-2</v>
      </c>
      <c r="H174">
        <v>241.22655367314974</v>
      </c>
      <c r="I174">
        <v>9.9970277032753128</v>
      </c>
      <c r="J174">
        <v>171.15505855118698</v>
      </c>
    </row>
    <row r="175" spans="1:10" x14ac:dyDescent="0.2">
      <c r="A175">
        <v>174</v>
      </c>
      <c r="B175" s="1">
        <v>292.08999999999997</v>
      </c>
      <c r="C175" s="1">
        <v>12.96</v>
      </c>
      <c r="D175" s="1">
        <v>286.19</v>
      </c>
      <c r="E175">
        <v>1.5213222673335488E-2</v>
      </c>
      <c r="F175">
        <v>-1.5314234973042481E-2</v>
      </c>
      <c r="G175">
        <v>1.0855733793081178E-2</v>
      </c>
      <c r="H175">
        <v>242.44653148662366</v>
      </c>
      <c r="I175">
        <v>9.8445172006376414</v>
      </c>
      <c r="J175">
        <v>173.28585859305682</v>
      </c>
    </row>
    <row r="176" spans="1:10" x14ac:dyDescent="0.2">
      <c r="A176">
        <v>175</v>
      </c>
      <c r="B176" s="1">
        <v>295.45</v>
      </c>
      <c r="C176" s="1">
        <v>13.09</v>
      </c>
      <c r="D176" s="1">
        <v>284.14999999999998</v>
      </c>
      <c r="E176">
        <v>1.1437643835092576E-2</v>
      </c>
      <c r="F176">
        <v>9.9808889976799146E-3</v>
      </c>
      <c r="G176">
        <v>-7.1536581678047408E-3</v>
      </c>
      <c r="H176">
        <v>247.46287732441513</v>
      </c>
      <c r="I176">
        <v>9.8365352677079123</v>
      </c>
      <c r="J176">
        <v>166.20657586064232</v>
      </c>
    </row>
    <row r="177" spans="1:10" x14ac:dyDescent="0.2">
      <c r="A177">
        <v>176</v>
      </c>
      <c r="B177" s="1">
        <v>292.93</v>
      </c>
      <c r="C177" s="1">
        <v>13.14</v>
      </c>
      <c r="D177" s="1">
        <v>280.7</v>
      </c>
      <c r="E177">
        <v>-8.5659451674721214E-3</v>
      </c>
      <c r="F177">
        <v>3.8124331346559388E-3</v>
      </c>
      <c r="G177">
        <v>-1.221578437529367E-2</v>
      </c>
      <c r="H177">
        <v>257.77822673169265</v>
      </c>
      <c r="I177">
        <v>10.126087222610915</v>
      </c>
      <c r="J177">
        <v>163.4647786072087</v>
      </c>
    </row>
    <row r="178" spans="1:10" x14ac:dyDescent="0.2">
      <c r="A178">
        <v>177</v>
      </c>
      <c r="B178" s="1">
        <v>294.72000000000003</v>
      </c>
      <c r="C178" s="1">
        <v>13.03</v>
      </c>
      <c r="D178" s="1">
        <v>278.77999999999997</v>
      </c>
      <c r="E178">
        <v>6.0920804427306574E-3</v>
      </c>
      <c r="F178">
        <v>-8.4066219197107862E-3</v>
      </c>
      <c r="G178">
        <v>-6.863543066096575E-3</v>
      </c>
      <c r="H178">
        <v>252.48725809851496</v>
      </c>
      <c r="I178">
        <v>10.280570291375154</v>
      </c>
      <c r="J178">
        <v>161.13731649976759</v>
      </c>
    </row>
    <row r="179" spans="1:10" x14ac:dyDescent="0.2">
      <c r="A179">
        <v>178</v>
      </c>
      <c r="B179" s="1">
        <v>301.87</v>
      </c>
      <c r="C179" s="1">
        <v>13.14</v>
      </c>
      <c r="D179" s="1">
        <v>277.89</v>
      </c>
      <c r="E179">
        <v>2.3970708055726715E-2</v>
      </c>
      <c r="F179">
        <v>8.4066219197107654E-3</v>
      </c>
      <c r="G179">
        <v>-3.1975883676944017E-3</v>
      </c>
      <c r="H179">
        <v>264.27111578040444</v>
      </c>
      <c r="I179">
        <v>10.032236679112685</v>
      </c>
      <c r="J179">
        <v>159.67214439913704</v>
      </c>
    </row>
    <row r="180" spans="1:10" x14ac:dyDescent="0.2">
      <c r="A180">
        <v>179</v>
      </c>
      <c r="B180" s="1">
        <v>303.41000000000003</v>
      </c>
      <c r="C180" s="1">
        <v>13.08</v>
      </c>
      <c r="D180" s="1">
        <v>277.18</v>
      </c>
      <c r="E180">
        <v>5.088565037658619E-3</v>
      </c>
      <c r="F180">
        <v>-4.5766670274118666E-3</v>
      </c>
      <c r="G180">
        <v>-2.5582372933893359E-3</v>
      </c>
      <c r="H180">
        <v>259.36268913014567</v>
      </c>
      <c r="I180">
        <v>10.257018610755336</v>
      </c>
      <c r="J180">
        <v>161.4223306167666</v>
      </c>
    </row>
    <row r="181" spans="1:10" x14ac:dyDescent="0.2">
      <c r="A181">
        <v>180</v>
      </c>
      <c r="B181" s="1">
        <v>310.14</v>
      </c>
      <c r="C181" s="1">
        <v>13.41</v>
      </c>
      <c r="D181" s="1">
        <v>278.77999999999997</v>
      </c>
      <c r="E181">
        <v>2.193878227567542E-2</v>
      </c>
      <c r="F181">
        <v>2.4916351264534418E-2</v>
      </c>
      <c r="G181">
        <v>5.7558256610836991E-3</v>
      </c>
      <c r="H181">
        <v>257.48201633656623</v>
      </c>
      <c r="I181">
        <v>10.279473137894088</v>
      </c>
      <c r="J181">
        <v>161.3225723776853</v>
      </c>
    </row>
    <row r="182" spans="1:10" x14ac:dyDescent="0.2">
      <c r="A182">
        <v>181</v>
      </c>
      <c r="B182" s="1">
        <v>304.85000000000002</v>
      </c>
      <c r="C182" s="1">
        <v>13.63</v>
      </c>
      <c r="D182" s="1">
        <v>278.02999999999997</v>
      </c>
      <c r="E182">
        <v>-1.7203956082177733E-2</v>
      </c>
      <c r="F182">
        <v>1.6272548414854187E-2</v>
      </c>
      <c r="G182">
        <v>-2.6939187642996787E-3</v>
      </c>
      <c r="H182">
        <v>252.32668674395168</v>
      </c>
      <c r="I182">
        <v>10.314020285730011</v>
      </c>
      <c r="J182">
        <v>163.81439827153196</v>
      </c>
    </row>
    <row r="183" spans="1:10" x14ac:dyDescent="0.2">
      <c r="A183">
        <v>182</v>
      </c>
      <c r="B183" s="1">
        <v>292.04000000000002</v>
      </c>
      <c r="C183" s="1">
        <v>13.76</v>
      </c>
      <c r="D183" s="1">
        <v>278.27999999999997</v>
      </c>
      <c r="E183">
        <v>-4.2929073165940156E-2</v>
      </c>
      <c r="F183">
        <v>9.4925867967562676E-3</v>
      </c>
      <c r="G183">
        <v>8.9877951799999299E-4</v>
      </c>
      <c r="H183">
        <v>246.12887936471577</v>
      </c>
      <c r="I183">
        <v>10.202969462551811</v>
      </c>
      <c r="J183">
        <v>167.56569652269818</v>
      </c>
    </row>
    <row r="184" spans="1:10" x14ac:dyDescent="0.2">
      <c r="A184">
        <v>183</v>
      </c>
      <c r="B184" s="1">
        <v>287.74</v>
      </c>
      <c r="C184" s="1">
        <v>13.65</v>
      </c>
      <c r="D184" s="1">
        <v>274.11</v>
      </c>
      <c r="E184">
        <v>-1.4833484578998038E-2</v>
      </c>
      <c r="F184">
        <v>-8.0263108742288213E-3</v>
      </c>
      <c r="G184">
        <v>-1.509831537680152E-2</v>
      </c>
      <c r="H184">
        <v>240.80170256498587</v>
      </c>
      <c r="I184">
        <v>9.9763650189058151</v>
      </c>
      <c r="J184">
        <v>170.5917637560344</v>
      </c>
    </row>
    <row r="185" spans="1:10" x14ac:dyDescent="0.2">
      <c r="A185">
        <v>184</v>
      </c>
      <c r="B185" s="1">
        <v>286.87</v>
      </c>
      <c r="C185" s="1">
        <v>13.67</v>
      </c>
      <c r="D185" s="1">
        <v>274.61</v>
      </c>
      <c r="E185">
        <v>-3.0281431398673378E-3</v>
      </c>
      <c r="F185">
        <v>1.464129104889448E-3</v>
      </c>
      <c r="G185">
        <v>1.8224235981354902E-3</v>
      </c>
      <c r="H185">
        <v>241.21576280138302</v>
      </c>
      <c r="I185">
        <v>10.347330303011262</v>
      </c>
      <c r="J185">
        <v>172.32317718901268</v>
      </c>
    </row>
    <row r="186" spans="1:10" x14ac:dyDescent="0.2">
      <c r="A186">
        <v>185</v>
      </c>
      <c r="B186" s="1">
        <v>276.95999999999998</v>
      </c>
      <c r="C186" s="1">
        <v>13.31</v>
      </c>
      <c r="D186" s="1">
        <v>271.83999999999997</v>
      </c>
      <c r="E186">
        <v>-3.5156060041120589E-2</v>
      </c>
      <c r="F186">
        <v>-2.6688018328837847E-2</v>
      </c>
      <c r="G186">
        <v>-1.013825135315272E-2</v>
      </c>
      <c r="H186">
        <v>240.18757456510926</v>
      </c>
      <c r="I186">
        <v>10.484888050946147</v>
      </c>
      <c r="J186">
        <v>176.42690164515096</v>
      </c>
    </row>
    <row r="187" spans="1:10" x14ac:dyDescent="0.2">
      <c r="A187">
        <v>186</v>
      </c>
      <c r="B187" s="1">
        <v>284.68</v>
      </c>
      <c r="C187" s="1">
        <v>13.32</v>
      </c>
      <c r="D187" s="1">
        <v>272.19</v>
      </c>
      <c r="E187">
        <v>2.7492651003171404E-2</v>
      </c>
      <c r="F187">
        <v>7.5103270522275075E-4</v>
      </c>
      <c r="G187">
        <v>1.2866939260253387E-3</v>
      </c>
      <c r="H187">
        <v>239.75061836412283</v>
      </c>
      <c r="I187">
        <v>10.410013914001551</v>
      </c>
      <c r="J187">
        <v>185.49266870123935</v>
      </c>
    </row>
    <row r="188" spans="1:10" x14ac:dyDescent="0.2">
      <c r="A188">
        <v>187</v>
      </c>
      <c r="B188" s="1">
        <v>288.95</v>
      </c>
      <c r="C188" s="1">
        <v>13.47</v>
      </c>
      <c r="D188" s="1">
        <v>273.67</v>
      </c>
      <c r="E188">
        <v>1.4887920332716654E-2</v>
      </c>
      <c r="F188">
        <v>1.1198325310029535E-2</v>
      </c>
      <c r="G188">
        <v>5.4226491284583497E-3</v>
      </c>
      <c r="H188">
        <v>247.01949222746956</v>
      </c>
      <c r="I188">
        <v>10.88065672496764</v>
      </c>
      <c r="J188">
        <v>185.79106789979991</v>
      </c>
    </row>
    <row r="189" spans="1:10" x14ac:dyDescent="0.2">
      <c r="A189">
        <v>188</v>
      </c>
      <c r="B189" s="1">
        <v>293.27999999999997</v>
      </c>
      <c r="C189" s="1">
        <v>13.46</v>
      </c>
      <c r="D189" s="1">
        <v>270.97000000000003</v>
      </c>
      <c r="E189">
        <v>1.4874121327607896E-2</v>
      </c>
      <c r="F189">
        <v>-7.4266620569089445E-4</v>
      </c>
      <c r="G189">
        <v>-9.9148873332354798E-3</v>
      </c>
      <c r="H189">
        <v>249.79977354528</v>
      </c>
      <c r="I189">
        <v>10.798211488976875</v>
      </c>
      <c r="J189">
        <v>188.59308450539496</v>
      </c>
    </row>
    <row r="190" spans="1:10" x14ac:dyDescent="0.2">
      <c r="A190">
        <v>189</v>
      </c>
      <c r="B190" s="1">
        <v>296.95</v>
      </c>
      <c r="C190" s="1">
        <v>13.29</v>
      </c>
      <c r="D190" s="1">
        <v>272.36</v>
      </c>
      <c r="E190">
        <v>1.2435990370474404E-2</v>
      </c>
      <c r="F190">
        <v>-1.2710451491427964E-2</v>
      </c>
      <c r="G190">
        <v>5.116606969895846E-3</v>
      </c>
      <c r="H190">
        <v>246.7824433380238</v>
      </c>
      <c r="I190">
        <v>10.643343865264189</v>
      </c>
      <c r="J190">
        <v>186.31082908656558</v>
      </c>
    </row>
    <row r="191" spans="1:10" x14ac:dyDescent="0.2">
      <c r="A191">
        <v>190</v>
      </c>
      <c r="B191" s="1">
        <v>298.8</v>
      </c>
      <c r="C191" s="1">
        <v>13.36</v>
      </c>
      <c r="D191" s="1">
        <v>273.81</v>
      </c>
      <c r="E191">
        <v>6.2106787967930984E-3</v>
      </c>
      <c r="F191">
        <v>5.2532953833456277E-3</v>
      </c>
      <c r="G191">
        <v>5.3097145821295851E-3</v>
      </c>
      <c r="H191">
        <v>243.62106261655882</v>
      </c>
      <c r="I191">
        <v>10.685667507683604</v>
      </c>
      <c r="J191">
        <v>182.04335209975747</v>
      </c>
    </row>
    <row r="192" spans="1:10" x14ac:dyDescent="0.2">
      <c r="A192">
        <v>191</v>
      </c>
      <c r="B192" s="1">
        <v>302.83999999999997</v>
      </c>
      <c r="C192" s="1">
        <v>13.31</v>
      </c>
      <c r="D192" s="1">
        <v>273.39999999999998</v>
      </c>
      <c r="E192">
        <v>1.3430159976443453E-2</v>
      </c>
      <c r="F192">
        <v>-3.7495357014793633E-3</v>
      </c>
      <c r="G192">
        <v>-1.4985109070465431E-3</v>
      </c>
      <c r="H192">
        <v>245.69720681466788</v>
      </c>
      <c r="I192">
        <v>10.79458491564745</v>
      </c>
      <c r="J192">
        <v>178.39136051509738</v>
      </c>
    </row>
    <row r="193" spans="1:10" x14ac:dyDescent="0.2">
      <c r="A193">
        <v>192</v>
      </c>
      <c r="B193" s="1">
        <v>300.92</v>
      </c>
      <c r="C193" s="1">
        <v>13.28</v>
      </c>
      <c r="D193" s="1">
        <v>273.76</v>
      </c>
      <c r="E193">
        <v>-6.3601645430848997E-3</v>
      </c>
      <c r="F193">
        <v>-2.2564883587325038E-3</v>
      </c>
      <c r="G193">
        <v>1.3158858540342575E-3</v>
      </c>
      <c r="H193">
        <v>252.35906134086926</v>
      </c>
      <c r="I193">
        <v>10.767489814921648</v>
      </c>
      <c r="J193">
        <v>180.55303583652434</v>
      </c>
    </row>
    <row r="194" spans="1:10" x14ac:dyDescent="0.2">
      <c r="A194">
        <v>193</v>
      </c>
      <c r="B194" s="1">
        <v>299.58</v>
      </c>
      <c r="C194" s="1">
        <v>13.23</v>
      </c>
      <c r="D194" s="1">
        <v>273.08</v>
      </c>
      <c r="E194">
        <v>-4.4629549514479897E-3</v>
      </c>
      <c r="F194">
        <v>-3.7721659214234125E-3</v>
      </c>
      <c r="G194">
        <v>-2.4870175938038587E-3</v>
      </c>
      <c r="H194">
        <v>253.15050056940981</v>
      </c>
      <c r="I194">
        <v>10.619201281426818</v>
      </c>
      <c r="J194">
        <v>180.27498116346925</v>
      </c>
    </row>
    <row r="195" spans="1:10" x14ac:dyDescent="0.2">
      <c r="A195">
        <v>194</v>
      </c>
      <c r="B195" s="1">
        <v>303.89</v>
      </c>
      <c r="C195" s="1">
        <v>13.12</v>
      </c>
      <c r="D195" s="1">
        <v>271.86</v>
      </c>
      <c r="E195">
        <v>1.4284300079734713E-2</v>
      </c>
      <c r="F195">
        <v>-8.3491946109214045E-3</v>
      </c>
      <c r="G195">
        <v>-4.4775646429776467E-3</v>
      </c>
      <c r="H195">
        <v>261.28285455142333</v>
      </c>
      <c r="I195">
        <v>10.344017344192997</v>
      </c>
      <c r="J195">
        <v>187.99456663132474</v>
      </c>
    </row>
    <row r="196" spans="1:10" x14ac:dyDescent="0.2">
      <c r="A196">
        <v>195</v>
      </c>
      <c r="B196" s="1">
        <v>319.61</v>
      </c>
      <c r="C196" s="1">
        <v>13.34</v>
      </c>
      <c r="D196" s="1">
        <v>271.01</v>
      </c>
      <c r="E196">
        <v>5.0435708693707185E-2</v>
      </c>
      <c r="F196">
        <v>1.6629256971534747E-2</v>
      </c>
      <c r="G196">
        <v>-3.1315073391992238E-3</v>
      </c>
      <c r="H196">
        <v>277.13548809675478</v>
      </c>
      <c r="I196">
        <v>10.180810996245221</v>
      </c>
      <c r="J196">
        <v>188.74482884048442</v>
      </c>
    </row>
    <row r="197" spans="1:10" x14ac:dyDescent="0.2">
      <c r="A197">
        <v>196</v>
      </c>
      <c r="B197" s="1">
        <v>322.25</v>
      </c>
      <c r="C197" s="1">
        <v>13.47</v>
      </c>
      <c r="D197" s="1">
        <v>267.26</v>
      </c>
      <c r="E197">
        <v>8.226139305281913E-3</v>
      </c>
      <c r="F197">
        <v>9.6979499347949628E-3</v>
      </c>
      <c r="G197">
        <v>-1.3933753214987847E-2</v>
      </c>
      <c r="H197">
        <v>285.62882587573944</v>
      </c>
      <c r="I197">
        <v>10.20587646549289</v>
      </c>
      <c r="J197">
        <v>193.03983042498865</v>
      </c>
    </row>
    <row r="198" spans="1:10" x14ac:dyDescent="0.2">
      <c r="A198">
        <v>197</v>
      </c>
      <c r="B198" s="1">
        <v>327.43</v>
      </c>
      <c r="C198" s="1">
        <v>13.8</v>
      </c>
      <c r="D198" s="1">
        <v>262.36</v>
      </c>
      <c r="E198">
        <v>1.594664995224751E-2</v>
      </c>
      <c r="F198">
        <v>2.4203601740886399E-2</v>
      </c>
      <c r="G198">
        <v>-1.8504360927380031E-2</v>
      </c>
      <c r="H198">
        <v>269.41200838543142</v>
      </c>
      <c r="I198">
        <v>10.650605056805061</v>
      </c>
      <c r="J198">
        <v>187.79242517391816</v>
      </c>
    </row>
    <row r="199" spans="1:10" x14ac:dyDescent="0.2">
      <c r="A199">
        <v>198</v>
      </c>
      <c r="B199" s="1">
        <v>318.68</v>
      </c>
      <c r="C199" s="1">
        <v>13.74</v>
      </c>
      <c r="D199" s="1">
        <v>260.33</v>
      </c>
      <c r="E199">
        <v>-2.7086827259378912E-2</v>
      </c>
      <c r="F199">
        <v>-4.3573053689558126E-3</v>
      </c>
      <c r="G199">
        <v>-7.7675494332428621E-3</v>
      </c>
      <c r="H199">
        <v>273.20454881126915</v>
      </c>
      <c r="I199">
        <v>10.505537996659992</v>
      </c>
      <c r="J199">
        <v>186.12688432837413</v>
      </c>
    </row>
    <row r="200" spans="1:10" x14ac:dyDescent="0.2">
      <c r="A200">
        <v>199</v>
      </c>
      <c r="B200" s="1">
        <v>318.01</v>
      </c>
      <c r="C200" s="1">
        <v>14.4</v>
      </c>
      <c r="D200" s="1">
        <v>259.04000000000002</v>
      </c>
      <c r="E200">
        <v>-2.1046356855401369E-3</v>
      </c>
      <c r="F200">
        <v>4.6916919787751657E-2</v>
      </c>
      <c r="G200">
        <v>-4.9675670629667958E-3</v>
      </c>
      <c r="H200">
        <v>278.32287222901124</v>
      </c>
      <c r="I200">
        <v>10.306807116115703</v>
      </c>
      <c r="J200">
        <v>184.07685525685406</v>
      </c>
    </row>
    <row r="201" spans="1:10" x14ac:dyDescent="0.2">
      <c r="A201">
        <v>200</v>
      </c>
      <c r="B201" s="1">
        <v>323.63</v>
      </c>
      <c r="C201" s="1">
        <v>14.2</v>
      </c>
      <c r="D201" s="1">
        <v>259.37</v>
      </c>
      <c r="E201">
        <v>1.7518059106414383E-2</v>
      </c>
      <c r="F201">
        <v>-1.3986241974739952E-2</v>
      </c>
      <c r="G201">
        <v>1.2731237613982068E-3</v>
      </c>
      <c r="H201">
        <v>279.54014207635487</v>
      </c>
      <c r="I201">
        <v>10.594790307503731</v>
      </c>
      <c r="J201">
        <v>186.54465664381803</v>
      </c>
    </row>
    <row r="202" spans="1:10" x14ac:dyDescent="0.2">
      <c r="A202">
        <v>201</v>
      </c>
      <c r="B202" s="1">
        <v>331.77</v>
      </c>
      <c r="C202" s="1">
        <v>14.03</v>
      </c>
      <c r="D202" s="1">
        <v>260.25</v>
      </c>
      <c r="E202">
        <v>2.4841069822338864E-2</v>
      </c>
      <c r="F202">
        <v>-1.2044070492845459E-2</v>
      </c>
      <c r="G202">
        <v>3.3870938043550165E-3</v>
      </c>
      <c r="H202">
        <v>274.30295603382706</v>
      </c>
      <c r="I202">
        <v>10.462300685761507</v>
      </c>
      <c r="J202">
        <v>195.95906056540835</v>
      </c>
    </row>
    <row r="203" spans="1:10" x14ac:dyDescent="0.2">
      <c r="A203">
        <v>202</v>
      </c>
      <c r="B203" s="1">
        <v>331.21</v>
      </c>
      <c r="C203" s="1">
        <v>13.98</v>
      </c>
      <c r="D203" s="1">
        <v>261.05</v>
      </c>
      <c r="E203">
        <v>-1.6893424633653389E-3</v>
      </c>
      <c r="F203">
        <v>-3.5701573087053144E-3</v>
      </c>
      <c r="G203">
        <v>3.069252361483235E-3</v>
      </c>
      <c r="H203">
        <v>273.37002095392586</v>
      </c>
      <c r="I203">
        <v>10.458293545288367</v>
      </c>
      <c r="J203">
        <v>190.41258216529732</v>
      </c>
    </row>
    <row r="204" spans="1:10" x14ac:dyDescent="0.2">
      <c r="A204">
        <v>203</v>
      </c>
      <c r="B204" s="1">
        <v>327.11</v>
      </c>
      <c r="C204" s="1">
        <v>13.84</v>
      </c>
      <c r="D204" s="1">
        <v>259.95999999999998</v>
      </c>
      <c r="E204">
        <v>-1.2456109524364765E-2</v>
      </c>
      <c r="F204">
        <v>-1.0064786616140709E-2</v>
      </c>
      <c r="G204">
        <v>-4.1841868304133703E-3</v>
      </c>
      <c r="H204">
        <v>273.34770537830127</v>
      </c>
      <c r="I204">
        <v>10.409876092490563</v>
      </c>
      <c r="J204">
        <v>190.19333865050652</v>
      </c>
    </row>
    <row r="205" spans="1:10" x14ac:dyDescent="0.2">
      <c r="A205">
        <v>204</v>
      </c>
      <c r="B205" s="1">
        <v>341.64</v>
      </c>
      <c r="C205" s="1">
        <v>13.81</v>
      </c>
      <c r="D205" s="1">
        <v>258.20999999999998</v>
      </c>
      <c r="E205">
        <v>4.346104531029827E-2</v>
      </c>
      <c r="F205">
        <v>-2.1699827683226932E-3</v>
      </c>
      <c r="G205">
        <v>-6.7545656966553251E-3</v>
      </c>
      <c r="H205">
        <v>272.16312599072558</v>
      </c>
      <c r="I205">
        <v>10.352041495251546</v>
      </c>
      <c r="J205">
        <v>197.58543783904753</v>
      </c>
    </row>
    <row r="206" spans="1:10" x14ac:dyDescent="0.2">
      <c r="A206">
        <v>205</v>
      </c>
      <c r="B206" s="1">
        <v>342.4</v>
      </c>
      <c r="C206" s="1">
        <v>13.6</v>
      </c>
      <c r="D206" s="1">
        <v>255.53</v>
      </c>
      <c r="E206">
        <v>2.2220931896405846E-3</v>
      </c>
      <c r="F206">
        <v>-1.5323174679194442E-2</v>
      </c>
      <c r="G206">
        <v>-1.0433387748804377E-2</v>
      </c>
      <c r="H206">
        <v>266.40611229902873</v>
      </c>
      <c r="I206">
        <v>10.750397983889641</v>
      </c>
      <c r="J206">
        <v>196.91493746636823</v>
      </c>
    </row>
    <row r="207" spans="1:10" x14ac:dyDescent="0.2">
      <c r="A207">
        <v>206</v>
      </c>
      <c r="B207" s="1">
        <v>327.16000000000003</v>
      </c>
      <c r="C207" s="1">
        <v>13.28</v>
      </c>
      <c r="D207" s="1">
        <v>246.7</v>
      </c>
      <c r="E207">
        <v>-4.5530296400813519E-2</v>
      </c>
      <c r="F207">
        <v>-2.3810648693718559E-2</v>
      </c>
      <c r="G207">
        <v>-3.5166796045377341E-2</v>
      </c>
      <c r="H207">
        <v>266.4579714527527</v>
      </c>
      <c r="I207">
        <v>10.75656270089233</v>
      </c>
      <c r="J207">
        <v>197.95926556594998</v>
      </c>
    </row>
    <row r="208" spans="1:10" x14ac:dyDescent="0.2">
      <c r="A208">
        <v>207</v>
      </c>
      <c r="B208" s="1">
        <v>326.12</v>
      </c>
      <c r="C208" s="1">
        <v>13.77</v>
      </c>
      <c r="D208" s="1">
        <v>247.65</v>
      </c>
      <c r="E208">
        <v>-3.1839360720633488E-3</v>
      </c>
      <c r="F208">
        <v>3.6233168692275809E-2</v>
      </c>
      <c r="G208">
        <v>3.8434354989358229E-3</v>
      </c>
      <c r="H208">
        <v>270.76919376611704</v>
      </c>
      <c r="I208">
        <v>10.963523133490732</v>
      </c>
      <c r="J208">
        <v>197.87458792127848</v>
      </c>
    </row>
    <row r="209" spans="1:10" x14ac:dyDescent="0.2">
      <c r="A209">
        <v>208</v>
      </c>
      <c r="B209" s="1">
        <v>327.37</v>
      </c>
      <c r="C209" s="1">
        <v>13.71</v>
      </c>
      <c r="D209" s="1">
        <v>248.35</v>
      </c>
      <c r="E209">
        <v>3.8256179115686564E-3</v>
      </c>
      <c r="F209">
        <v>-4.3668191663404025E-3</v>
      </c>
      <c r="G209">
        <v>2.8225825191126939E-3</v>
      </c>
      <c r="H209">
        <v>265.05034127574703</v>
      </c>
      <c r="I209">
        <v>11.23833709292518</v>
      </c>
      <c r="J209">
        <v>196.39619680105764</v>
      </c>
    </row>
    <row r="210" spans="1:10" x14ac:dyDescent="0.2">
      <c r="A210">
        <v>209</v>
      </c>
      <c r="B210" s="1">
        <v>334.87</v>
      </c>
      <c r="C210" s="1">
        <v>13.56</v>
      </c>
      <c r="D210" s="1">
        <v>248.04</v>
      </c>
      <c r="E210">
        <v>2.2651367102644211E-2</v>
      </c>
      <c r="F210">
        <v>-1.1001211061973569E-2</v>
      </c>
      <c r="G210">
        <v>-1.2490180716823703E-3</v>
      </c>
      <c r="H210">
        <v>257.46430188252532</v>
      </c>
      <c r="I210">
        <v>11.514818692974757</v>
      </c>
      <c r="J210">
        <v>191.33844980917928</v>
      </c>
    </row>
    <row r="211" spans="1:10" x14ac:dyDescent="0.2">
      <c r="A211">
        <v>210</v>
      </c>
      <c r="B211" s="1">
        <v>332.71</v>
      </c>
      <c r="C211" s="1">
        <v>13.44</v>
      </c>
      <c r="D211" s="1">
        <v>255.41</v>
      </c>
      <c r="E211">
        <v>-6.4711571276916307E-3</v>
      </c>
      <c r="F211">
        <v>-8.888947417246152E-3</v>
      </c>
      <c r="G211">
        <v>2.9280073618068572E-2</v>
      </c>
      <c r="H211">
        <v>258.74135255289741</v>
      </c>
      <c r="I211">
        <v>11.471171506316091</v>
      </c>
      <c r="J211">
        <v>196.50517361700705</v>
      </c>
    </row>
    <row r="212" spans="1:10" x14ac:dyDescent="0.2">
      <c r="A212">
        <v>211</v>
      </c>
      <c r="B212" s="1">
        <v>338.34</v>
      </c>
      <c r="C212" s="1">
        <v>13.93</v>
      </c>
      <c r="D212" s="1">
        <v>258.27</v>
      </c>
      <c r="E212">
        <v>1.6780067365914378E-2</v>
      </c>
      <c r="F212">
        <v>3.5809452696710778E-2</v>
      </c>
      <c r="G212">
        <v>1.1135452238227017E-2</v>
      </c>
      <c r="H212">
        <v>264.80932535999034</v>
      </c>
      <c r="I212">
        <v>11.829499215043633</v>
      </c>
      <c r="J212">
        <v>189.8384068519407</v>
      </c>
    </row>
    <row r="213" spans="1:10" x14ac:dyDescent="0.2">
      <c r="A213">
        <v>212</v>
      </c>
      <c r="B213" s="1">
        <v>342.3</v>
      </c>
      <c r="C213" s="1">
        <v>13.82</v>
      </c>
      <c r="D213" s="1">
        <v>256.44</v>
      </c>
      <c r="E213">
        <v>1.1636238488994106E-2</v>
      </c>
      <c r="F213">
        <v>-7.9279694521904327E-3</v>
      </c>
      <c r="G213">
        <v>-7.1108302189163246E-3</v>
      </c>
      <c r="H213">
        <v>266.0051013839211</v>
      </c>
      <c r="I213">
        <v>12.085944519494651</v>
      </c>
      <c r="J213">
        <v>190.0353594877713</v>
      </c>
    </row>
    <row r="214" spans="1:10" x14ac:dyDescent="0.2">
      <c r="A214">
        <v>213</v>
      </c>
      <c r="B214" s="1">
        <v>339.55</v>
      </c>
      <c r="C214" s="1">
        <v>14</v>
      </c>
      <c r="D214" s="1">
        <v>258.27999999999997</v>
      </c>
      <c r="E214">
        <v>-8.066333976339277E-3</v>
      </c>
      <c r="F214">
        <v>1.2940511275734732E-2</v>
      </c>
      <c r="G214">
        <v>7.1495486392095589E-3</v>
      </c>
      <c r="H214">
        <v>267.45768967299091</v>
      </c>
      <c r="I214">
        <v>12.211532096492643</v>
      </c>
      <c r="J214">
        <v>187.07577184496347</v>
      </c>
    </row>
    <row r="215" spans="1:10" x14ac:dyDescent="0.2">
      <c r="A215">
        <v>214</v>
      </c>
      <c r="B215" s="1">
        <v>330.56</v>
      </c>
      <c r="C215" s="1">
        <v>13.88</v>
      </c>
      <c r="D215" s="1">
        <v>259.48</v>
      </c>
      <c r="E215">
        <v>-2.6833025628526696E-2</v>
      </c>
      <c r="F215">
        <v>-8.6083745366001638E-3</v>
      </c>
      <c r="G215">
        <v>4.6353605865885536E-3</v>
      </c>
      <c r="H215">
        <v>270.53277014872771</v>
      </c>
      <c r="I215">
        <v>11.841782507276921</v>
      </c>
      <c r="J215">
        <v>186.53969406247305</v>
      </c>
    </row>
    <row r="216" spans="1:10" x14ac:dyDescent="0.2">
      <c r="A216">
        <v>215</v>
      </c>
      <c r="B216" s="1">
        <v>341.36</v>
      </c>
      <c r="C216" s="1">
        <v>13.81</v>
      </c>
      <c r="D216" s="1">
        <v>270.01</v>
      </c>
      <c r="E216">
        <v>3.214945294847079E-2</v>
      </c>
      <c r="F216">
        <v>-5.0559876574577259E-3</v>
      </c>
      <c r="G216">
        <v>3.9779367004702977E-2</v>
      </c>
      <c r="H216">
        <v>274.17611840402247</v>
      </c>
      <c r="I216">
        <v>11.787913702895333</v>
      </c>
      <c r="J216">
        <v>184.44999657286397</v>
      </c>
    </row>
    <row r="217" spans="1:10" x14ac:dyDescent="0.2">
      <c r="A217">
        <v>216</v>
      </c>
      <c r="B217" s="1">
        <v>335.75</v>
      </c>
      <c r="C217" s="1">
        <v>13.73</v>
      </c>
      <c r="D217" s="1">
        <v>269.48</v>
      </c>
      <c r="E217">
        <v>-1.6570803476397555E-2</v>
      </c>
      <c r="F217">
        <v>-5.8097476413211018E-3</v>
      </c>
      <c r="G217">
        <v>-1.9648192570985205E-3</v>
      </c>
      <c r="H217">
        <v>271.54931307073582</v>
      </c>
      <c r="I217">
        <v>11.684691442340611</v>
      </c>
      <c r="J217">
        <v>184.28451717983802</v>
      </c>
    </row>
    <row r="218" spans="1:10" x14ac:dyDescent="0.2">
      <c r="A218">
        <v>217</v>
      </c>
      <c r="B218" s="1">
        <v>325.74</v>
      </c>
      <c r="C218" s="1">
        <v>13.82</v>
      </c>
      <c r="D218" s="1">
        <v>276.49</v>
      </c>
      <c r="E218">
        <v>-3.0267318257932201E-2</v>
      </c>
      <c r="F218">
        <v>6.5335985596442284E-3</v>
      </c>
      <c r="G218">
        <v>2.5680477850631312E-2</v>
      </c>
      <c r="H218">
        <v>264.51588980270134</v>
      </c>
      <c r="I218">
        <v>11.731346669932401</v>
      </c>
      <c r="J218">
        <v>186.59722216975294</v>
      </c>
    </row>
    <row r="219" spans="1:10" x14ac:dyDescent="0.2">
      <c r="A219">
        <v>218</v>
      </c>
      <c r="B219" s="1">
        <v>330.73</v>
      </c>
      <c r="C219" s="1">
        <v>13.72</v>
      </c>
      <c r="D219" s="1">
        <v>275.91000000000003</v>
      </c>
      <c r="E219">
        <v>1.5202815389451792E-2</v>
      </c>
      <c r="F219">
        <v>-7.2621960417846715E-3</v>
      </c>
      <c r="G219">
        <v>-2.0999283603744651E-3</v>
      </c>
      <c r="H219">
        <v>265.91430412799645</v>
      </c>
      <c r="I219">
        <v>11.909352085741791</v>
      </c>
      <c r="J219">
        <v>188.65919534969302</v>
      </c>
    </row>
    <row r="220" spans="1:10" x14ac:dyDescent="0.2">
      <c r="A220">
        <v>219</v>
      </c>
      <c r="B220" s="1">
        <v>348.85</v>
      </c>
      <c r="C220" s="1">
        <v>13.8</v>
      </c>
      <c r="D220" s="1">
        <v>278.12</v>
      </c>
      <c r="E220">
        <v>5.3339697850379238E-2</v>
      </c>
      <c r="F220">
        <v>5.8139698654198161E-3</v>
      </c>
      <c r="G220">
        <v>7.9779496481011784E-3</v>
      </c>
      <c r="H220">
        <v>265.31468422655104</v>
      </c>
      <c r="I220">
        <v>11.97483480698636</v>
      </c>
      <c r="J220">
        <v>187.0654030907701</v>
      </c>
    </row>
    <row r="221" spans="1:10" x14ac:dyDescent="0.2">
      <c r="A221">
        <v>220</v>
      </c>
      <c r="B221" s="1">
        <v>355.41</v>
      </c>
      <c r="C221" s="1">
        <v>13.59</v>
      </c>
      <c r="D221" s="1">
        <v>274.62</v>
      </c>
      <c r="E221">
        <v>1.863002224953186E-2</v>
      </c>
      <c r="F221">
        <v>-1.5334364000106687E-2</v>
      </c>
      <c r="G221">
        <v>-1.2664351337211381E-2</v>
      </c>
      <c r="H221">
        <v>268.38016230506599</v>
      </c>
      <c r="I221">
        <v>12.15145178540846</v>
      </c>
      <c r="J221">
        <v>190.67922316061811</v>
      </c>
    </row>
    <row r="222" spans="1:10" x14ac:dyDescent="0.2">
      <c r="A222">
        <v>221</v>
      </c>
      <c r="B222" s="1">
        <v>361.91</v>
      </c>
      <c r="C222" s="1">
        <v>13.57</v>
      </c>
      <c r="D222" s="1">
        <v>273.68</v>
      </c>
      <c r="E222">
        <v>1.8123509495689725E-2</v>
      </c>
      <c r="F222">
        <v>-1.4727543162745406E-3</v>
      </c>
      <c r="G222">
        <v>-3.4287832242565278E-3</v>
      </c>
      <c r="H222">
        <v>265.01070039132901</v>
      </c>
      <c r="I222">
        <v>11.953671865725662</v>
      </c>
      <c r="J222">
        <v>190.34226071336181</v>
      </c>
    </row>
    <row r="223" spans="1:10" x14ac:dyDescent="0.2">
      <c r="A223">
        <v>222</v>
      </c>
      <c r="B223" s="1">
        <v>374.09</v>
      </c>
      <c r="C223" s="1">
        <v>13.85</v>
      </c>
      <c r="D223" s="1">
        <v>275.5</v>
      </c>
      <c r="E223">
        <v>3.3100848045722067E-2</v>
      </c>
      <c r="F223">
        <v>2.0423758786569747E-2</v>
      </c>
      <c r="G223">
        <v>6.6280879236198581E-3</v>
      </c>
      <c r="H223">
        <v>265.3640717138457</v>
      </c>
      <c r="I223">
        <v>11.913970496265923</v>
      </c>
      <c r="J223">
        <v>188.67347037976987</v>
      </c>
    </row>
    <row r="224" spans="1:10" x14ac:dyDescent="0.2">
      <c r="A224">
        <v>223</v>
      </c>
      <c r="B224" s="1">
        <v>368.1</v>
      </c>
      <c r="C224" s="1">
        <v>14</v>
      </c>
      <c r="D224" s="1">
        <v>261.73</v>
      </c>
      <c r="E224">
        <v>-1.6141769791213949E-2</v>
      </c>
      <c r="F224">
        <v>1.077209698191104E-2</v>
      </c>
      <c r="G224">
        <v>-5.1274190548633441E-2</v>
      </c>
      <c r="H224">
        <v>259.64888839721635</v>
      </c>
      <c r="I224">
        <v>12.321754109531643</v>
      </c>
      <c r="J224">
        <v>186.87502501534271</v>
      </c>
    </row>
    <row r="225" spans="1:10" x14ac:dyDescent="0.2">
      <c r="A225">
        <v>224</v>
      </c>
      <c r="B225" s="1">
        <v>366.36</v>
      </c>
      <c r="C225" s="1">
        <v>14.12</v>
      </c>
      <c r="D225" s="1">
        <v>255.78</v>
      </c>
      <c r="E225">
        <v>-4.7381838501886903E-3</v>
      </c>
      <c r="F225">
        <v>8.5349024498372859E-3</v>
      </c>
      <c r="G225">
        <v>-2.2995738039161814E-2</v>
      </c>
      <c r="H225">
        <v>271.65332093370534</v>
      </c>
      <c r="I225">
        <v>12.363136642871666</v>
      </c>
      <c r="J225">
        <v>185.01262620051583</v>
      </c>
    </row>
    <row r="226" spans="1:10" x14ac:dyDescent="0.2">
      <c r="A226">
        <v>225</v>
      </c>
      <c r="B226" s="1">
        <v>364.2</v>
      </c>
      <c r="C226" s="1">
        <v>14.13</v>
      </c>
      <c r="D226" s="1">
        <v>263.88</v>
      </c>
      <c r="E226">
        <v>-5.913289241279247E-3</v>
      </c>
      <c r="F226">
        <v>7.0796463134009419E-4</v>
      </c>
      <c r="G226">
        <v>3.1176754349496051E-2</v>
      </c>
      <c r="H226">
        <v>281.56874155529221</v>
      </c>
      <c r="I226">
        <v>12.477488682728637</v>
      </c>
      <c r="J226">
        <v>188.78955960792459</v>
      </c>
    </row>
    <row r="227" spans="1:10" x14ac:dyDescent="0.2">
      <c r="A227">
        <v>226</v>
      </c>
      <c r="B227" s="1">
        <v>362.26</v>
      </c>
      <c r="C227" s="1">
        <v>13.85</v>
      </c>
      <c r="D227" s="1">
        <v>264.35000000000002</v>
      </c>
      <c r="E227">
        <v>-5.3409812287370613E-3</v>
      </c>
      <c r="F227">
        <v>-2.0014964063088638E-2</v>
      </c>
      <c r="G227">
        <v>1.7795283267892476E-3</v>
      </c>
      <c r="H227">
        <v>273.77246806608957</v>
      </c>
      <c r="I227">
        <v>13.123147781733252</v>
      </c>
      <c r="J227">
        <v>195.55663406869616</v>
      </c>
    </row>
    <row r="228" spans="1:10" x14ac:dyDescent="0.2">
      <c r="A228">
        <v>227</v>
      </c>
      <c r="B228" s="1">
        <v>360.39</v>
      </c>
      <c r="C228" s="1">
        <v>13.78</v>
      </c>
      <c r="D228" s="1">
        <v>260.58</v>
      </c>
      <c r="E228">
        <v>-5.1754076633771301E-3</v>
      </c>
      <c r="F228">
        <v>-5.066967047835067E-3</v>
      </c>
      <c r="G228">
        <v>-1.4364066906673809E-2</v>
      </c>
      <c r="H228">
        <v>265.04666785790937</v>
      </c>
      <c r="I228">
        <v>13.26684319925414</v>
      </c>
      <c r="J228">
        <v>196.96276666586544</v>
      </c>
    </row>
    <row r="229" spans="1:10" x14ac:dyDescent="0.2">
      <c r="A229">
        <v>228</v>
      </c>
      <c r="B229" s="1">
        <v>370.54</v>
      </c>
      <c r="C229" s="1">
        <v>14.01</v>
      </c>
      <c r="D229" s="1">
        <v>264.58</v>
      </c>
      <c r="E229">
        <v>2.7774622720473218E-2</v>
      </c>
      <c r="F229">
        <v>1.655309476340306E-2</v>
      </c>
      <c r="G229">
        <v>1.5233747259448463E-2</v>
      </c>
      <c r="H229">
        <v>267.67934010266947</v>
      </c>
      <c r="I229">
        <v>13.150136486408213</v>
      </c>
      <c r="J229">
        <v>195.45573002759082</v>
      </c>
    </row>
    <row r="230" spans="1:10" x14ac:dyDescent="0.2">
      <c r="A230">
        <v>229</v>
      </c>
      <c r="B230" s="1">
        <v>370.04</v>
      </c>
      <c r="C230" s="1">
        <v>13.64</v>
      </c>
      <c r="D230" s="1">
        <v>266.18</v>
      </c>
      <c r="E230">
        <v>-1.3502932187488144E-3</v>
      </c>
      <c r="F230">
        <v>-2.6764707933599495E-2</v>
      </c>
      <c r="G230">
        <v>6.0291086241762307E-3</v>
      </c>
      <c r="H230">
        <v>270.93272589390961</v>
      </c>
      <c r="I230">
        <v>12.776004246932395</v>
      </c>
      <c r="J230">
        <v>201.80882196579009</v>
      </c>
    </row>
    <row r="231" spans="1:10" x14ac:dyDescent="0.2">
      <c r="A231">
        <v>230</v>
      </c>
      <c r="B231" s="1">
        <v>385.75</v>
      </c>
      <c r="C231" s="1">
        <v>14.2</v>
      </c>
      <c r="D231" s="1">
        <v>272.14</v>
      </c>
      <c r="E231">
        <v>4.1578383340152299E-2</v>
      </c>
      <c r="F231">
        <v>4.0235312191898971E-2</v>
      </c>
      <c r="G231">
        <v>2.214386810430231E-2</v>
      </c>
      <c r="H231">
        <v>276.40991350673772</v>
      </c>
      <c r="I231">
        <v>12.909249457858454</v>
      </c>
      <c r="J231">
        <v>196.75124268204107</v>
      </c>
    </row>
    <row r="232" spans="1:10" x14ac:dyDescent="0.2">
      <c r="A232">
        <v>231</v>
      </c>
      <c r="B232" s="1">
        <v>387.73</v>
      </c>
      <c r="C232" s="1">
        <v>14.43</v>
      </c>
      <c r="D232" s="1">
        <v>274.23</v>
      </c>
      <c r="E232">
        <v>5.1197298570556174E-3</v>
      </c>
      <c r="F232">
        <v>1.6067408178564543E-2</v>
      </c>
      <c r="G232">
        <v>7.650530571124887E-3</v>
      </c>
      <c r="H232">
        <v>274.52397385284428</v>
      </c>
      <c r="I232">
        <v>12.583299434839928</v>
      </c>
      <c r="J232">
        <v>200.135359771911</v>
      </c>
    </row>
    <row r="233" spans="1:10" x14ac:dyDescent="0.2">
      <c r="A233">
        <v>232</v>
      </c>
      <c r="B233" s="1">
        <v>376.81</v>
      </c>
      <c r="C233" s="1">
        <v>14.41</v>
      </c>
      <c r="D233" s="1">
        <v>272.95</v>
      </c>
      <c r="E233">
        <v>-2.8568139472146616E-2</v>
      </c>
      <c r="F233">
        <v>-1.3869627743487095E-3</v>
      </c>
      <c r="G233">
        <v>-4.6785421060705724E-3</v>
      </c>
      <c r="H233">
        <v>285.23400850343859</v>
      </c>
      <c r="I233">
        <v>12.977162309668014</v>
      </c>
      <c r="J233">
        <v>194.51683533496188</v>
      </c>
    </row>
    <row r="234" spans="1:10" x14ac:dyDescent="0.2">
      <c r="A234">
        <v>233</v>
      </c>
      <c r="B234" s="1">
        <v>374.58</v>
      </c>
      <c r="C234" s="1">
        <v>14.09</v>
      </c>
      <c r="D234" s="1">
        <v>264.18</v>
      </c>
      <c r="E234">
        <v>-5.9356833264715466E-3</v>
      </c>
      <c r="F234">
        <v>-2.2457084100841899E-2</v>
      </c>
      <c r="G234">
        <v>-3.265793923204912E-2</v>
      </c>
      <c r="H234">
        <v>306.64454602851123</v>
      </c>
      <c r="I234">
        <v>12.905843779245638</v>
      </c>
      <c r="J234">
        <v>193.0449261473332</v>
      </c>
    </row>
    <row r="235" spans="1:10" x14ac:dyDescent="0.2">
      <c r="A235">
        <v>234</v>
      </c>
      <c r="B235" s="1">
        <v>369.11</v>
      </c>
      <c r="C235" s="1">
        <v>13.39</v>
      </c>
      <c r="D235" s="1">
        <v>264.72000000000003</v>
      </c>
      <c r="E235">
        <v>-1.4710695704015935E-2</v>
      </c>
      <c r="F235">
        <v>-5.0957166207507683E-2</v>
      </c>
      <c r="G235">
        <v>2.0419746176394381E-3</v>
      </c>
      <c r="H235">
        <v>308.07881135459178</v>
      </c>
      <c r="I235">
        <v>13.039887195419389</v>
      </c>
      <c r="J235">
        <v>188.68671048971851</v>
      </c>
    </row>
    <row r="236" spans="1:10" x14ac:dyDescent="0.2">
      <c r="A236">
        <v>235</v>
      </c>
      <c r="B236" s="1">
        <v>353.13</v>
      </c>
      <c r="C236" s="1">
        <v>12.7</v>
      </c>
      <c r="D236" s="1">
        <v>263.75</v>
      </c>
      <c r="E236">
        <v>-4.4258441505192855E-2</v>
      </c>
      <c r="F236">
        <v>-5.2906166238535599E-2</v>
      </c>
      <c r="G236">
        <v>-3.6709788230805565E-3</v>
      </c>
      <c r="H236">
        <v>310.85782930427882</v>
      </c>
      <c r="I236">
        <v>12.523319006545998</v>
      </c>
      <c r="J236">
        <v>188.61609224461543</v>
      </c>
    </row>
    <row r="237" spans="1:10" x14ac:dyDescent="0.2">
      <c r="A237">
        <v>236</v>
      </c>
      <c r="B237" s="1">
        <v>357.44</v>
      </c>
      <c r="C237" s="1">
        <v>12.81</v>
      </c>
      <c r="D237" s="1">
        <v>262.52</v>
      </c>
      <c r="E237">
        <v>1.2131254788336909E-2</v>
      </c>
      <c r="F237">
        <v>8.6241224440974044E-3</v>
      </c>
      <c r="G237">
        <v>-4.6744151847542721E-3</v>
      </c>
      <c r="H237">
        <v>312.91037728886988</v>
      </c>
      <c r="I237">
        <v>12.361613408028468</v>
      </c>
      <c r="J237">
        <v>192.75939513749481</v>
      </c>
    </row>
    <row r="238" spans="1:10" x14ac:dyDescent="0.2">
      <c r="A238">
        <v>237</v>
      </c>
      <c r="B238" s="1">
        <v>353.86</v>
      </c>
      <c r="C238" s="1">
        <v>12.34</v>
      </c>
      <c r="D238" s="1">
        <v>260.29000000000002</v>
      </c>
      <c r="E238">
        <v>-1.0066161195979135E-2</v>
      </c>
      <c r="F238">
        <v>-3.7380097431401166E-2</v>
      </c>
      <c r="G238">
        <v>-8.5308755538726425E-3</v>
      </c>
      <c r="H238">
        <v>325.72771302729586</v>
      </c>
      <c r="I238">
        <v>12.323048428012337</v>
      </c>
      <c r="J238">
        <v>190.75450054124454</v>
      </c>
    </row>
    <row r="239" spans="1:10" x14ac:dyDescent="0.2">
      <c r="A239">
        <v>238</v>
      </c>
      <c r="B239" s="1">
        <v>338.89</v>
      </c>
      <c r="C239" s="1">
        <v>12.15</v>
      </c>
      <c r="D239" s="1">
        <v>257.45999999999998</v>
      </c>
      <c r="E239">
        <v>-4.3225783736469237E-2</v>
      </c>
      <c r="F239">
        <v>-1.5516848690684244E-2</v>
      </c>
      <c r="G239">
        <v>-1.0932025820161116E-2</v>
      </c>
      <c r="H239">
        <v>331.12672168973967</v>
      </c>
      <c r="I239">
        <v>12.331333494575569</v>
      </c>
      <c r="J239">
        <v>191.67792427727463</v>
      </c>
    </row>
    <row r="240" spans="1:10" x14ac:dyDescent="0.2">
      <c r="A240">
        <v>239</v>
      </c>
      <c r="B240" s="1">
        <v>348.7</v>
      </c>
      <c r="C240" s="1">
        <v>12.19</v>
      </c>
      <c r="D240" s="1">
        <v>259.88</v>
      </c>
      <c r="E240">
        <v>2.8536382733217937E-2</v>
      </c>
      <c r="F240">
        <v>3.2867737066227228E-3</v>
      </c>
      <c r="G240">
        <v>9.3556177808418479E-3</v>
      </c>
      <c r="H240">
        <v>332.69371107871348</v>
      </c>
      <c r="I240">
        <v>12.389826366096042</v>
      </c>
      <c r="J240">
        <v>187.32887538585192</v>
      </c>
    </row>
    <row r="241" spans="1:10" x14ac:dyDescent="0.2">
      <c r="A241">
        <v>240</v>
      </c>
      <c r="B241" s="1">
        <v>347.09</v>
      </c>
      <c r="C241" s="1">
        <v>12.24</v>
      </c>
      <c r="D241" s="1">
        <v>260.83</v>
      </c>
      <c r="E241">
        <v>-4.6278413700546967E-3</v>
      </c>
      <c r="F241">
        <v>4.0933335910000096E-3</v>
      </c>
      <c r="G241">
        <v>3.6488680994934642E-3</v>
      </c>
      <c r="H241">
        <v>326.69106851620029</v>
      </c>
      <c r="I241">
        <v>12.81233866887786</v>
      </c>
      <c r="J241">
        <v>188.55801062394787</v>
      </c>
    </row>
    <row r="242" spans="1:10" x14ac:dyDescent="0.2">
      <c r="A242">
        <v>241</v>
      </c>
      <c r="B242" s="1">
        <v>354.56</v>
      </c>
      <c r="C242" s="1">
        <v>12.11</v>
      </c>
      <c r="D242" s="1">
        <v>260.81</v>
      </c>
      <c r="E242">
        <v>2.1293471807313634E-2</v>
      </c>
      <c r="F242">
        <v>-1.0677719519179214E-2</v>
      </c>
      <c r="G242">
        <v>-7.6681236139007375E-5</v>
      </c>
      <c r="H242">
        <v>327.99237869160834</v>
      </c>
      <c r="I242">
        <v>12.954634330660195</v>
      </c>
      <c r="J242">
        <v>187.05549589936936</v>
      </c>
    </row>
    <row r="243" spans="1:10" x14ac:dyDescent="0.2">
      <c r="A243">
        <v>242</v>
      </c>
      <c r="B243" s="1">
        <v>336.71</v>
      </c>
      <c r="C243" s="1">
        <v>12.04</v>
      </c>
      <c r="D243" s="1">
        <v>255.76</v>
      </c>
      <c r="E243">
        <v>-5.165555836317267E-2</v>
      </c>
      <c r="F243">
        <v>-5.7971176843259579E-3</v>
      </c>
      <c r="G243">
        <v>-1.9552668124098685E-2</v>
      </c>
      <c r="H243">
        <v>327.94524193774697</v>
      </c>
      <c r="I243">
        <v>12.660734536643416</v>
      </c>
      <c r="J243">
        <v>189.20217196825834</v>
      </c>
    </row>
    <row r="244" spans="1:10" x14ac:dyDescent="0.2">
      <c r="A244">
        <v>243</v>
      </c>
      <c r="B244" s="1">
        <v>338.31</v>
      </c>
      <c r="C244" s="1">
        <v>11.67</v>
      </c>
      <c r="D244" s="1">
        <v>250.12</v>
      </c>
      <c r="E244">
        <v>4.7406091566142934E-3</v>
      </c>
      <c r="F244">
        <v>-3.1212993582210257E-2</v>
      </c>
      <c r="G244">
        <v>-2.2298702052488843E-2</v>
      </c>
      <c r="H244">
        <v>327.28624979650959</v>
      </c>
      <c r="I244">
        <v>12.431596631055891</v>
      </c>
      <c r="J244">
        <v>185.95763887512331</v>
      </c>
    </row>
    <row r="245" spans="1:10" x14ac:dyDescent="0.2">
      <c r="A245">
        <v>244</v>
      </c>
      <c r="B245" s="1">
        <v>340.23</v>
      </c>
      <c r="C245" s="1">
        <v>11.71</v>
      </c>
      <c r="D245" s="1">
        <v>252.82</v>
      </c>
      <c r="E245">
        <v>5.6592245830428111E-3</v>
      </c>
      <c r="F245">
        <v>3.4217313111615387E-3</v>
      </c>
      <c r="G245">
        <v>1.0736970368314249E-2</v>
      </c>
      <c r="H245">
        <v>336.26615245801952</v>
      </c>
      <c r="I245">
        <v>12.229599918173514</v>
      </c>
      <c r="J245">
        <v>188.36375609053377</v>
      </c>
    </row>
    <row r="246" spans="1:10" x14ac:dyDescent="0.2">
      <c r="A246">
        <v>245</v>
      </c>
      <c r="B246" s="1">
        <v>345.98</v>
      </c>
      <c r="C246" s="1">
        <v>11.94</v>
      </c>
      <c r="D246" s="1">
        <v>254.23</v>
      </c>
      <c r="E246">
        <v>1.6759110423482486E-2</v>
      </c>
      <c r="F246">
        <v>1.9450930354829993E-2</v>
      </c>
      <c r="G246">
        <v>5.5615960336526096E-3</v>
      </c>
      <c r="H246">
        <v>346.43688453191714</v>
      </c>
      <c r="I246">
        <v>12.263531505131219</v>
      </c>
      <c r="J246">
        <v>195.2496317954691</v>
      </c>
    </row>
    <row r="247" spans="1:10" x14ac:dyDescent="0.2">
      <c r="A247">
        <v>246</v>
      </c>
      <c r="B247" s="1">
        <v>339.57</v>
      </c>
      <c r="C247" s="1">
        <v>11.79</v>
      </c>
      <c r="D247" s="1">
        <v>249.94</v>
      </c>
      <c r="E247">
        <v>-1.8700858606392909E-2</v>
      </c>
      <c r="F247">
        <v>-1.2642393415176468E-2</v>
      </c>
      <c r="G247">
        <v>-1.7018480043426643E-2</v>
      </c>
      <c r="H247">
        <v>351.10200681990176</v>
      </c>
      <c r="I247">
        <v>12.708799548588878</v>
      </c>
      <c r="J247">
        <v>198.18358348412355</v>
      </c>
    </row>
    <row r="248" spans="1:10" x14ac:dyDescent="0.2">
      <c r="A248">
        <v>247</v>
      </c>
      <c r="B248" s="1">
        <v>338.79</v>
      </c>
      <c r="C248" s="1">
        <v>11.64</v>
      </c>
      <c r="D248" s="1">
        <v>248.96</v>
      </c>
      <c r="E248">
        <v>-2.2996649087497463E-3</v>
      </c>
      <c r="F248">
        <v>-1.2804272245987628E-2</v>
      </c>
      <c r="G248">
        <v>-3.9286480676107884E-3</v>
      </c>
      <c r="H248">
        <v>351.65783860882857</v>
      </c>
      <c r="I248">
        <v>12.414548286213284</v>
      </c>
      <c r="J248">
        <v>196.18460851528781</v>
      </c>
    </row>
    <row r="249" spans="1:10" x14ac:dyDescent="0.2">
      <c r="A249">
        <v>248</v>
      </c>
      <c r="B249" s="1">
        <v>329.24</v>
      </c>
      <c r="C249" s="1">
        <v>11.52</v>
      </c>
      <c r="D249" s="1">
        <v>247.99</v>
      </c>
      <c r="E249">
        <v>-2.859347829924536E-2</v>
      </c>
      <c r="F249">
        <v>-1.0362787035546659E-2</v>
      </c>
      <c r="G249">
        <v>-3.9038182186668519E-3</v>
      </c>
      <c r="H249">
        <v>344.55328174313615</v>
      </c>
      <c r="I249">
        <v>12.519184653960931</v>
      </c>
      <c r="J249">
        <v>192.33774104974884</v>
      </c>
    </row>
    <row r="250" spans="1:10" x14ac:dyDescent="0.2">
      <c r="A250">
        <v>249</v>
      </c>
      <c r="B250" s="1">
        <v>338.45</v>
      </c>
      <c r="C250" s="1">
        <v>11.76</v>
      </c>
      <c r="D250" s="1">
        <v>251.49</v>
      </c>
      <c r="E250">
        <v>2.7589402850173337E-2</v>
      </c>
      <c r="F250">
        <v>2.061928720273561E-2</v>
      </c>
      <c r="G250">
        <v>1.4014804546515736E-2</v>
      </c>
      <c r="H250">
        <v>347.89059619569338</v>
      </c>
      <c r="I250">
        <v>12.303695177682775</v>
      </c>
      <c r="J250">
        <v>189.5390940311303</v>
      </c>
    </row>
    <row r="251" spans="1:10" x14ac:dyDescent="0.2">
      <c r="A251">
        <v>250</v>
      </c>
      <c r="B251" s="1">
        <v>343.25</v>
      </c>
      <c r="C251" s="1">
        <v>11.84</v>
      </c>
      <c r="D251" s="1">
        <v>251.64</v>
      </c>
      <c r="E251">
        <v>1.4082673693463874E-2</v>
      </c>
      <c r="F251">
        <v>6.7796869853787691E-3</v>
      </c>
      <c r="G251">
        <v>5.9626738395318244E-4</v>
      </c>
      <c r="H251">
        <v>342.18283141628331</v>
      </c>
      <c r="I251">
        <v>12.539208204942458</v>
      </c>
      <c r="J251">
        <v>187.66280594769825</v>
      </c>
    </row>
    <row r="252" spans="1:10" x14ac:dyDescent="0.2">
      <c r="A252">
        <v>251</v>
      </c>
      <c r="B252" s="1">
        <v>347.75</v>
      </c>
      <c r="C252" s="1">
        <v>11.67</v>
      </c>
      <c r="D252" s="1">
        <v>252.62</v>
      </c>
      <c r="H252">
        <v>340.33042350416912</v>
      </c>
      <c r="I252">
        <v>12.725018702566302</v>
      </c>
      <c r="J252">
        <v>183.16142738161295</v>
      </c>
    </row>
    <row r="254" spans="1:10" x14ac:dyDescent="0.2">
      <c r="A254" t="s">
        <v>6</v>
      </c>
      <c r="E254">
        <f>AVERAGE(E3:E251)</f>
        <v>2.7400861255468551E-3</v>
      </c>
      <c r="F254">
        <f>AVERAGE(F3:F251)</f>
        <v>5.5959732618582596E-4</v>
      </c>
      <c r="G254">
        <f>AVERAGE(G3:G251)</f>
        <v>5.1181314942668388E-4</v>
      </c>
    </row>
    <row r="255" spans="1:10" x14ac:dyDescent="0.2">
      <c r="A255" t="s">
        <v>7</v>
      </c>
      <c r="E255">
        <f>STDEV(E3:E251)</f>
        <v>2.3635750927627812E-2</v>
      </c>
      <c r="F255">
        <f>STDEV(F3:F251)</f>
        <v>2.0609450683983368E-2</v>
      </c>
      <c r="G255">
        <f>STDEV(G3:G251)</f>
        <v>1.9811126407577567E-2</v>
      </c>
    </row>
    <row r="256" spans="1:10" x14ac:dyDescent="0.2">
      <c r="A256" t="s">
        <v>11</v>
      </c>
      <c r="E256">
        <f>VAR(E3:E251)</f>
        <v>5.5864872191285905E-4</v>
      </c>
      <c r="F256">
        <f>VAR(F3:F251)</f>
        <v>4.2474945749554246E-4</v>
      </c>
      <c r="G256">
        <f>VAR(G3:G251)</f>
        <v>3.9248072953701729E-4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D379-A000-BB44-A3E1-443DD3054708}">
  <dimension ref="A1:S15"/>
  <sheetViews>
    <sheetView workbookViewId="0">
      <selection activeCell="S19" sqref="S19"/>
    </sheetView>
  </sheetViews>
  <sheetFormatPr baseColWidth="10" defaultRowHeight="15" x14ac:dyDescent="0.2"/>
  <cols>
    <col min="1" max="1" width="18.33203125" bestFit="1" customWidth="1"/>
  </cols>
  <sheetData>
    <row r="1" spans="1:19" x14ac:dyDescent="0.2">
      <c r="A1" s="3" t="s">
        <v>16</v>
      </c>
      <c r="B1" s="3" t="s">
        <v>15</v>
      </c>
    </row>
    <row r="2" spans="1:19" x14ac:dyDescent="0.2">
      <c r="A2">
        <v>-0.06</v>
      </c>
      <c r="B2">
        <v>3</v>
      </c>
    </row>
    <row r="3" spans="1:19" x14ac:dyDescent="0.2">
      <c r="A3">
        <v>-4.9999999999999996E-2</v>
      </c>
      <c r="B3">
        <v>1</v>
      </c>
    </row>
    <row r="4" spans="1:19" x14ac:dyDescent="0.2">
      <c r="A4">
        <v>-3.9999999999999994E-2</v>
      </c>
      <c r="B4">
        <v>5</v>
      </c>
    </row>
    <row r="5" spans="1:19" x14ac:dyDescent="0.2">
      <c r="A5">
        <v>-2.9999999999999992E-2</v>
      </c>
      <c r="B5">
        <v>8</v>
      </c>
    </row>
    <row r="6" spans="1:19" x14ac:dyDescent="0.2">
      <c r="A6">
        <v>-1.999999999999999E-2</v>
      </c>
      <c r="B6">
        <v>15</v>
      </c>
    </row>
    <row r="7" spans="1:19" x14ac:dyDescent="0.2">
      <c r="A7">
        <v>-9.9999999999999898E-3</v>
      </c>
      <c r="B7">
        <v>31</v>
      </c>
    </row>
    <row r="8" spans="1:19" x14ac:dyDescent="0.2">
      <c r="A8">
        <v>0</v>
      </c>
      <c r="B8">
        <v>52</v>
      </c>
    </row>
    <row r="9" spans="1:19" x14ac:dyDescent="0.2">
      <c r="A9">
        <v>0.01</v>
      </c>
      <c r="B9">
        <v>43</v>
      </c>
    </row>
    <row r="10" spans="1:19" x14ac:dyDescent="0.2">
      <c r="A10">
        <v>0.02</v>
      </c>
      <c r="B10">
        <v>41</v>
      </c>
    </row>
    <row r="11" spans="1:19" x14ac:dyDescent="0.2">
      <c r="A11">
        <v>0.03</v>
      </c>
      <c r="B11">
        <v>22</v>
      </c>
    </row>
    <row r="12" spans="1:19" x14ac:dyDescent="0.2">
      <c r="A12">
        <v>0.04</v>
      </c>
      <c r="B12">
        <v>18</v>
      </c>
    </row>
    <row r="13" spans="1:19" x14ac:dyDescent="0.2">
      <c r="A13">
        <v>0.05</v>
      </c>
      <c r="B13">
        <v>5</v>
      </c>
      <c r="D13" s="6" t="s">
        <v>17</v>
      </c>
      <c r="E13" s="6"/>
      <c r="F13" s="6"/>
      <c r="G13" s="6"/>
      <c r="H13" s="6"/>
      <c r="I13" s="6"/>
      <c r="J13" s="6"/>
      <c r="K13" s="6"/>
      <c r="L13" s="6"/>
      <c r="M13" s="6"/>
      <c r="N13" s="6"/>
      <c r="O13" s="6"/>
      <c r="P13" s="6"/>
      <c r="Q13" s="6"/>
      <c r="R13" s="6"/>
      <c r="S13" s="6"/>
    </row>
    <row r="14" spans="1:19" x14ac:dyDescent="0.2">
      <c r="A14">
        <v>6.0000000000000005E-2</v>
      </c>
      <c r="B14">
        <v>3</v>
      </c>
    </row>
    <row r="15" spans="1:19" ht="16" thickBot="1" x14ac:dyDescent="0.25">
      <c r="A15" s="2" t="s">
        <v>14</v>
      </c>
      <c r="B15" s="2">
        <v>2</v>
      </c>
    </row>
  </sheetData>
  <sortState xmlns:xlrd2="http://schemas.microsoft.com/office/spreadsheetml/2017/richdata2" ref="A2:A14">
    <sortCondition ref="A2"/>
  </sortState>
  <mergeCells count="1">
    <mergeCell ref="D13:S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2202-387A-C341-9EC3-75DEC7BB2258}">
  <dimension ref="A1:B15"/>
  <sheetViews>
    <sheetView tabSelected="1" workbookViewId="0">
      <selection activeCell="K8" sqref="K8"/>
    </sheetView>
  </sheetViews>
  <sheetFormatPr baseColWidth="10" defaultRowHeight="15" x14ac:dyDescent="0.2"/>
  <cols>
    <col min="1" max="1" width="15.33203125" bestFit="1" customWidth="1"/>
  </cols>
  <sheetData>
    <row r="1" spans="1:2" x14ac:dyDescent="0.2">
      <c r="A1" t="s">
        <v>18</v>
      </c>
      <c r="B1" t="s">
        <v>15</v>
      </c>
    </row>
    <row r="2" spans="1:2" x14ac:dyDescent="0.2">
      <c r="A2">
        <v>-0.06</v>
      </c>
      <c r="B2">
        <v>3</v>
      </c>
    </row>
    <row r="3" spans="1:2" x14ac:dyDescent="0.2">
      <c r="A3">
        <v>-4.9999999999999996E-2</v>
      </c>
      <c r="B3">
        <v>2</v>
      </c>
    </row>
    <row r="4" spans="1:2" x14ac:dyDescent="0.2">
      <c r="A4">
        <v>-3.9999999999999994E-2</v>
      </c>
      <c r="B4">
        <v>1</v>
      </c>
    </row>
    <row r="5" spans="1:2" x14ac:dyDescent="0.2">
      <c r="A5">
        <v>-2.9999999999999992E-2</v>
      </c>
      <c r="B5">
        <v>7</v>
      </c>
    </row>
    <row r="6" spans="1:2" x14ac:dyDescent="0.2">
      <c r="A6">
        <v>-1.999999999999999E-2</v>
      </c>
      <c r="B6">
        <v>13</v>
      </c>
    </row>
    <row r="7" spans="1:2" x14ac:dyDescent="0.2">
      <c r="A7">
        <v>-9.9999999999999898E-3</v>
      </c>
      <c r="B7">
        <v>40</v>
      </c>
    </row>
    <row r="8" spans="1:2" x14ac:dyDescent="0.2">
      <c r="A8">
        <v>0</v>
      </c>
      <c r="B8">
        <v>57</v>
      </c>
    </row>
    <row r="9" spans="1:2" x14ac:dyDescent="0.2">
      <c r="A9">
        <v>0.01</v>
      </c>
      <c r="B9">
        <v>60</v>
      </c>
    </row>
    <row r="10" spans="1:2" x14ac:dyDescent="0.2">
      <c r="A10">
        <v>0.02</v>
      </c>
      <c r="B10">
        <v>37</v>
      </c>
    </row>
    <row r="11" spans="1:2" x14ac:dyDescent="0.2">
      <c r="A11">
        <v>0.03</v>
      </c>
      <c r="B11">
        <v>14</v>
      </c>
    </row>
    <row r="12" spans="1:2" x14ac:dyDescent="0.2">
      <c r="A12">
        <v>0.04</v>
      </c>
      <c r="B12">
        <v>9</v>
      </c>
    </row>
    <row r="13" spans="1:2" x14ac:dyDescent="0.2">
      <c r="A13">
        <v>0.05</v>
      </c>
      <c r="B13">
        <v>4</v>
      </c>
    </row>
    <row r="14" spans="1:2" x14ac:dyDescent="0.2">
      <c r="A14">
        <v>6.0000000000000005E-2</v>
      </c>
      <c r="B14">
        <v>0</v>
      </c>
    </row>
    <row r="15" spans="1:2" x14ac:dyDescent="0.2">
      <c r="A15" t="s">
        <v>14</v>
      </c>
      <c r="B15">
        <v>2</v>
      </c>
    </row>
  </sheetData>
  <sortState xmlns:xlrd2="http://schemas.microsoft.com/office/spreadsheetml/2017/richdata2" ref="A2:A14">
    <sortCondition ref="A2"/>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288D-1364-3247-A93E-0A9A6A8262B9}">
  <dimension ref="A1:B15"/>
  <sheetViews>
    <sheetView workbookViewId="0">
      <selection activeCell="K9" sqref="K9"/>
    </sheetView>
  </sheetViews>
  <sheetFormatPr baseColWidth="10" defaultRowHeight="15" x14ac:dyDescent="0.2"/>
  <sheetData>
    <row r="1" spans="1:2" x14ac:dyDescent="0.2">
      <c r="A1" s="3" t="s">
        <v>19</v>
      </c>
      <c r="B1" s="3" t="s">
        <v>15</v>
      </c>
    </row>
    <row r="2" spans="1:2" x14ac:dyDescent="0.2">
      <c r="A2">
        <v>-0.06</v>
      </c>
      <c r="B2">
        <v>2</v>
      </c>
    </row>
    <row r="3" spans="1:2" x14ac:dyDescent="0.2">
      <c r="A3">
        <v>-4.9999999999999996E-2</v>
      </c>
      <c r="B3">
        <v>2</v>
      </c>
    </row>
    <row r="4" spans="1:2" x14ac:dyDescent="0.2">
      <c r="A4">
        <v>-3.9999999999999994E-2</v>
      </c>
      <c r="B4">
        <v>1</v>
      </c>
    </row>
    <row r="5" spans="1:2" x14ac:dyDescent="0.2">
      <c r="A5">
        <v>-2.9999999999999992E-2</v>
      </c>
      <c r="B5">
        <v>9</v>
      </c>
    </row>
    <row r="6" spans="1:2" x14ac:dyDescent="0.2">
      <c r="A6">
        <v>-1.999999999999999E-2</v>
      </c>
      <c r="B6">
        <v>5</v>
      </c>
    </row>
    <row r="7" spans="1:2" x14ac:dyDescent="0.2">
      <c r="A7">
        <v>-9.9999999999999898E-3</v>
      </c>
      <c r="B7">
        <v>29</v>
      </c>
    </row>
    <row r="8" spans="1:2" x14ac:dyDescent="0.2">
      <c r="A8">
        <v>0</v>
      </c>
      <c r="B8">
        <v>70</v>
      </c>
    </row>
    <row r="9" spans="1:2" x14ac:dyDescent="0.2">
      <c r="A9">
        <v>0.01</v>
      </c>
      <c r="B9">
        <v>83</v>
      </c>
    </row>
    <row r="10" spans="1:2" x14ac:dyDescent="0.2">
      <c r="A10">
        <v>0.02</v>
      </c>
      <c r="B10">
        <v>24</v>
      </c>
    </row>
    <row r="11" spans="1:2" x14ac:dyDescent="0.2">
      <c r="A11">
        <v>0.03</v>
      </c>
      <c r="B11">
        <v>11</v>
      </c>
    </row>
    <row r="12" spans="1:2" x14ac:dyDescent="0.2">
      <c r="A12">
        <v>0.04</v>
      </c>
      <c r="B12">
        <v>8</v>
      </c>
    </row>
    <row r="13" spans="1:2" x14ac:dyDescent="0.2">
      <c r="A13">
        <v>0.05</v>
      </c>
      <c r="B13">
        <v>3</v>
      </c>
    </row>
    <row r="14" spans="1:2" x14ac:dyDescent="0.2">
      <c r="A14">
        <v>6.0000000000000005E-2</v>
      </c>
      <c r="B14">
        <v>1</v>
      </c>
    </row>
    <row r="15" spans="1:2" ht="16" thickBot="1" x14ac:dyDescent="0.25">
      <c r="A15" s="2" t="s">
        <v>14</v>
      </c>
      <c r="B15" s="2">
        <v>1</v>
      </c>
    </row>
  </sheetData>
  <sortState xmlns:xlrd2="http://schemas.microsoft.com/office/spreadsheetml/2017/richdata2" ref="A2:A14">
    <sortCondition ref="A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B268-2ED7-0D41-8BF4-7232FE61849C}">
  <dimension ref="A1:B15"/>
  <sheetViews>
    <sheetView workbookViewId="0">
      <selection sqref="A1:B15"/>
    </sheetView>
  </sheetViews>
  <sheetFormatPr baseColWidth="10" defaultRowHeight="15" x14ac:dyDescent="0.2"/>
  <sheetData>
    <row r="1" spans="1:2" x14ac:dyDescent="0.2">
      <c r="A1" s="3" t="s">
        <v>13</v>
      </c>
      <c r="B1" s="3" t="s">
        <v>15</v>
      </c>
    </row>
    <row r="2" spans="1:2" x14ac:dyDescent="0.2">
      <c r="A2">
        <v>-0.06</v>
      </c>
      <c r="B2">
        <v>2</v>
      </c>
    </row>
    <row r="3" spans="1:2" x14ac:dyDescent="0.2">
      <c r="A3">
        <v>-4.9999999999999996E-2</v>
      </c>
      <c r="B3">
        <v>2</v>
      </c>
    </row>
    <row r="4" spans="1:2" x14ac:dyDescent="0.2">
      <c r="A4">
        <v>-3.9999999999999994E-2</v>
      </c>
      <c r="B4">
        <v>1</v>
      </c>
    </row>
    <row r="5" spans="1:2" x14ac:dyDescent="0.2">
      <c r="A5">
        <v>-2.9999999999999992E-2</v>
      </c>
      <c r="B5">
        <v>9</v>
      </c>
    </row>
    <row r="6" spans="1:2" x14ac:dyDescent="0.2">
      <c r="A6">
        <v>-1.999999999999999E-2</v>
      </c>
      <c r="B6">
        <v>5</v>
      </c>
    </row>
    <row r="7" spans="1:2" x14ac:dyDescent="0.2">
      <c r="A7">
        <v>-9.9999999999999898E-3</v>
      </c>
      <c r="B7">
        <v>29</v>
      </c>
    </row>
    <row r="8" spans="1:2" x14ac:dyDescent="0.2">
      <c r="A8">
        <v>0</v>
      </c>
      <c r="B8">
        <v>70</v>
      </c>
    </row>
    <row r="9" spans="1:2" x14ac:dyDescent="0.2">
      <c r="A9">
        <v>0.01</v>
      </c>
      <c r="B9">
        <v>83</v>
      </c>
    </row>
    <row r="10" spans="1:2" x14ac:dyDescent="0.2">
      <c r="A10">
        <v>0.02</v>
      </c>
      <c r="B10">
        <v>24</v>
      </c>
    </row>
    <row r="11" spans="1:2" x14ac:dyDescent="0.2">
      <c r="A11">
        <v>0.03</v>
      </c>
      <c r="B11">
        <v>11</v>
      </c>
    </row>
    <row r="12" spans="1:2" x14ac:dyDescent="0.2">
      <c r="A12">
        <v>0.04</v>
      </c>
      <c r="B12">
        <v>8</v>
      </c>
    </row>
    <row r="13" spans="1:2" x14ac:dyDescent="0.2">
      <c r="A13">
        <v>0.05</v>
      </c>
      <c r="B13">
        <v>3</v>
      </c>
    </row>
    <row r="14" spans="1:2" x14ac:dyDescent="0.2">
      <c r="A14">
        <v>6.0000000000000005E-2</v>
      </c>
      <c r="B14">
        <v>1</v>
      </c>
    </row>
    <row r="15" spans="1:2" ht="16" thickBot="1" x14ac:dyDescent="0.25">
      <c r="A15" s="2" t="s">
        <v>14</v>
      </c>
      <c r="B15" s="2">
        <v>1</v>
      </c>
    </row>
  </sheetData>
  <sortState xmlns:xlrd2="http://schemas.microsoft.com/office/spreadsheetml/2017/richdata2" ref="A2:A14">
    <sortCondition ref="A2"/>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D2E7-87BE-8547-843D-2194EA98F412}">
  <dimension ref="A1:B15"/>
  <sheetViews>
    <sheetView workbookViewId="0">
      <selection activeCell="H21" sqref="H21"/>
    </sheetView>
  </sheetViews>
  <sheetFormatPr baseColWidth="10" defaultRowHeight="15" x14ac:dyDescent="0.2"/>
  <sheetData>
    <row r="1" spans="1:2" x14ac:dyDescent="0.2">
      <c r="A1" s="3" t="s">
        <v>13</v>
      </c>
      <c r="B1" s="3" t="s">
        <v>15</v>
      </c>
    </row>
    <row r="2" spans="1:2" x14ac:dyDescent="0.2">
      <c r="A2">
        <v>-0.06</v>
      </c>
      <c r="B2">
        <v>3</v>
      </c>
    </row>
    <row r="3" spans="1:2" x14ac:dyDescent="0.2">
      <c r="A3">
        <v>-4.9999999999999996E-2</v>
      </c>
      <c r="B3">
        <v>2</v>
      </c>
    </row>
    <row r="4" spans="1:2" x14ac:dyDescent="0.2">
      <c r="A4">
        <v>-3.9999999999999994E-2</v>
      </c>
      <c r="B4">
        <v>1</v>
      </c>
    </row>
    <row r="5" spans="1:2" x14ac:dyDescent="0.2">
      <c r="A5">
        <v>-2.9999999999999992E-2</v>
      </c>
      <c r="B5">
        <v>7</v>
      </c>
    </row>
    <row r="6" spans="1:2" x14ac:dyDescent="0.2">
      <c r="A6">
        <v>-1.999999999999999E-2</v>
      </c>
      <c r="B6">
        <v>13</v>
      </c>
    </row>
    <row r="7" spans="1:2" x14ac:dyDescent="0.2">
      <c r="A7">
        <v>-9.9999999999999898E-3</v>
      </c>
      <c r="B7">
        <v>40</v>
      </c>
    </row>
    <row r="8" spans="1:2" x14ac:dyDescent="0.2">
      <c r="A8">
        <v>0</v>
      </c>
      <c r="B8">
        <v>57</v>
      </c>
    </row>
    <row r="9" spans="1:2" x14ac:dyDescent="0.2">
      <c r="A9">
        <v>0.01</v>
      </c>
      <c r="B9">
        <v>60</v>
      </c>
    </row>
    <row r="10" spans="1:2" x14ac:dyDescent="0.2">
      <c r="A10">
        <v>0.02</v>
      </c>
      <c r="B10">
        <v>37</v>
      </c>
    </row>
    <row r="11" spans="1:2" x14ac:dyDescent="0.2">
      <c r="A11">
        <v>0.03</v>
      </c>
      <c r="B11">
        <v>14</v>
      </c>
    </row>
    <row r="12" spans="1:2" x14ac:dyDescent="0.2">
      <c r="A12">
        <v>0.04</v>
      </c>
      <c r="B12">
        <v>9</v>
      </c>
    </row>
    <row r="13" spans="1:2" x14ac:dyDescent="0.2">
      <c r="A13">
        <v>0.05</v>
      </c>
      <c r="B13">
        <v>4</v>
      </c>
    </row>
    <row r="14" spans="1:2" x14ac:dyDescent="0.2">
      <c r="A14">
        <v>6.0000000000000005E-2</v>
      </c>
      <c r="B14">
        <v>0</v>
      </c>
    </row>
    <row r="15" spans="1:2" ht="16" thickBot="1" x14ac:dyDescent="0.25">
      <c r="A15" s="2" t="s">
        <v>14</v>
      </c>
      <c r="B15" s="2">
        <v>2</v>
      </c>
    </row>
  </sheetData>
  <sortState xmlns:xlrd2="http://schemas.microsoft.com/office/spreadsheetml/2017/richdata2" ref="A2:A14">
    <sortCondition ref="A2"/>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C97B-C470-BC4E-A6DD-4371EDE1C412}">
  <dimension ref="A1:B15"/>
  <sheetViews>
    <sheetView workbookViewId="0">
      <selection sqref="A1:B15"/>
    </sheetView>
  </sheetViews>
  <sheetFormatPr baseColWidth="10" defaultRowHeight="15" x14ac:dyDescent="0.2"/>
  <sheetData>
    <row r="1" spans="1:2" x14ac:dyDescent="0.2">
      <c r="A1" s="3" t="s">
        <v>13</v>
      </c>
      <c r="B1" s="3" t="s">
        <v>15</v>
      </c>
    </row>
    <row r="2" spans="1:2" x14ac:dyDescent="0.2">
      <c r="A2">
        <v>-0.06</v>
      </c>
      <c r="B2">
        <v>2</v>
      </c>
    </row>
    <row r="3" spans="1:2" x14ac:dyDescent="0.2">
      <c r="A3">
        <v>-4.9999999999999996E-2</v>
      </c>
      <c r="B3">
        <v>2</v>
      </c>
    </row>
    <row r="4" spans="1:2" x14ac:dyDescent="0.2">
      <c r="A4">
        <v>-3.9999999999999994E-2</v>
      </c>
      <c r="B4">
        <v>1</v>
      </c>
    </row>
    <row r="5" spans="1:2" x14ac:dyDescent="0.2">
      <c r="A5">
        <v>-2.9999999999999992E-2</v>
      </c>
      <c r="B5">
        <v>9</v>
      </c>
    </row>
    <row r="6" spans="1:2" x14ac:dyDescent="0.2">
      <c r="A6">
        <v>-1.999999999999999E-2</v>
      </c>
      <c r="B6">
        <v>5</v>
      </c>
    </row>
    <row r="7" spans="1:2" x14ac:dyDescent="0.2">
      <c r="A7">
        <v>-9.9999999999999898E-3</v>
      </c>
      <c r="B7">
        <v>29</v>
      </c>
    </row>
    <row r="8" spans="1:2" x14ac:dyDescent="0.2">
      <c r="A8">
        <v>0</v>
      </c>
      <c r="B8">
        <v>70</v>
      </c>
    </row>
    <row r="9" spans="1:2" x14ac:dyDescent="0.2">
      <c r="A9">
        <v>0.01</v>
      </c>
      <c r="B9">
        <v>83</v>
      </c>
    </row>
    <row r="10" spans="1:2" x14ac:dyDescent="0.2">
      <c r="A10">
        <v>0.02</v>
      </c>
      <c r="B10">
        <v>24</v>
      </c>
    </row>
    <row r="11" spans="1:2" x14ac:dyDescent="0.2">
      <c r="A11">
        <v>0.03</v>
      </c>
      <c r="B11">
        <v>11</v>
      </c>
    </row>
    <row r="12" spans="1:2" x14ac:dyDescent="0.2">
      <c r="A12">
        <v>0.04</v>
      </c>
      <c r="B12">
        <v>8</v>
      </c>
    </row>
    <row r="13" spans="1:2" x14ac:dyDescent="0.2">
      <c r="A13">
        <v>0.05</v>
      </c>
      <c r="B13">
        <v>3</v>
      </c>
    </row>
    <row r="14" spans="1:2" x14ac:dyDescent="0.2">
      <c r="A14">
        <v>6.0000000000000005E-2</v>
      </c>
      <c r="B14">
        <v>1</v>
      </c>
    </row>
    <row r="15" spans="1:2" ht="16" thickBot="1" x14ac:dyDescent="0.25">
      <c r="A15" s="2" t="s">
        <v>14</v>
      </c>
      <c r="B15" s="2">
        <v>1</v>
      </c>
    </row>
  </sheetData>
  <sortState xmlns:xlrd2="http://schemas.microsoft.com/office/spreadsheetml/2017/richdata2" ref="A2:A14">
    <sortCondition ref="A2"/>
  </sortState>
  <pageMargins left="0.7" right="0.7" top="0.75" bottom="0.75" header="0.3" footer="0.3"/>
  <drawing r:id="rId1"/>
</worksheet>
</file>

<file path=docMetadata/LabelInfo.xml><?xml version="1.0" encoding="utf-8"?>
<clbl:labelList xmlns:clbl="http://schemas.microsoft.com/office/2020/mipLabelMetadata">
  <clbl:label id="{569df091-b013-40e3-86ee-bd9cb9e25814}" enabled="0" method="" siteId="{569df091-b013-40e3-86ee-bd9cb9e2581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Simulated Values</vt:lpstr>
      <vt:lpstr>Fixed Simulated Values</vt:lpstr>
      <vt:lpstr>Histogram of TSM Daily Returns</vt:lpstr>
      <vt:lpstr>Histogram of F Daily Returns</vt:lpstr>
      <vt:lpstr>Histogram of AAPL Daily Returns</vt:lpstr>
      <vt:lpstr>Histogram of Sim TSM</vt:lpstr>
      <vt:lpstr>Histogram of Sim F</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 Priya</dc:creator>
  <cp:lastModifiedBy>Tariq Ahmed</cp:lastModifiedBy>
  <dcterms:created xsi:type="dcterms:W3CDTF">2026-04-09T10:38:56Z</dcterms:created>
  <dcterms:modified xsi:type="dcterms:W3CDTF">2026-06-11T22:45:57Z</dcterms:modified>
</cp:coreProperties>
</file>